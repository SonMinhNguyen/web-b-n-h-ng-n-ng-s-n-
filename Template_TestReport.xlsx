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Tổng quan)" sheetId="1" r:id="rId4"/>
    <sheet state="visible" name="FUNCTION" sheetId="2" r:id="rId5"/>
    <sheet state="visible" name="Test case List (DS Test Case)" sheetId="3" r:id="rId6"/>
    <sheet state="visible" name="Đăng Nhập" sheetId="4" r:id="rId7"/>
    <sheet state="visible" name="Đặt hàng" sheetId="5" r:id="rId8"/>
    <sheet state="visible" name="Trang chủ &amp; Sản phẩm" sheetId="6" r:id="rId9"/>
    <sheet state="visible" name="Khách hàng" sheetId="7" r:id="rId10"/>
    <sheet state="visible" name="Lịch sử đơn" sheetId="8" r:id="rId11"/>
    <sheet state="visible" name="admin" sheetId="9" r:id="rId12"/>
    <sheet state="visible" name="checkgui" sheetId="10" r:id="rId13"/>
    <sheet state="visible" name="Test Report" sheetId="11" r:id="rId14"/>
  </sheets>
  <definedNames/>
  <calcPr/>
  <extLst>
    <ext uri="GoogleSheetsCustomDataVersion2">
      <go:sheetsCustomData xmlns:go="http://customooxmlschemas.google.com/" r:id="rId15" roundtripDataChecksum="B+aBNk4odpZo444fksvppmk6rwq+T/VQ1rI+6n8fmH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ID#AAAAqR2uTwU
    (2023-02-14 15:52:07)
*A: Add
  M: Modify
  D: Delete</t>
      </text>
    </comment>
  </commentList>
  <extLst>
    <ext uri="GoogleSheetsCustomDataVersion2">
      <go:sheetsCustomData xmlns:go="http://customooxmlschemas.google.com/" r:id="rId1" roundtripDataSignature="AMtx7mjHSfC4ajRIYMjYKTCRjSH/DJKwuA=="/>
    </ext>
  </extLst>
</comments>
</file>

<file path=xl/sharedStrings.xml><?xml version="1.0" encoding="utf-8"?>
<sst xmlns="http://schemas.openxmlformats.org/spreadsheetml/2006/main" count="2089" uniqueCount="1316">
  <si>
    <t>TRƯỜNG HỢP KIỂM THỬ</t>
  </si>
  <si>
    <t>Project Name</t>
  </si>
  <si>
    <t>Hệ thống quản lý Nông sản sạch</t>
  </si>
  <si>
    <t>Creator</t>
  </si>
  <si>
    <t>Nhóm 5</t>
  </si>
  <si>
    <t>Project Code</t>
  </si>
  <si>
    <t>NS_01</t>
  </si>
  <si>
    <t>Reviewer/Approver</t>
  </si>
  <si>
    <t>Phạm Ngọc Bích</t>
  </si>
  <si>
    <t>Document Code</t>
  </si>
  <si>
    <t>TC_NS_01</t>
  </si>
  <si>
    <t>Issue Date</t>
  </si>
  <si>
    <t>21/04/2026</t>
  </si>
  <si>
    <t>Version</t>
  </si>
  <si>
    <t>Record of change</t>
  </si>
  <si>
    <t xml:space="preserve">Ghi lại các thay đổi </t>
  </si>
  <si>
    <t>Effective Date</t>
  </si>
  <si>
    <t>Change Item</t>
  </si>
  <si>
    <t>*A,D,M</t>
  </si>
  <si>
    <t>Change description</t>
  </si>
  <si>
    <t>Reference</t>
  </si>
  <si>
    <t>1.0</t>
  </si>
  <si>
    <t>Ngày hiệu lực</t>
  </si>
  <si>
    <t>Phiên bản</t>
  </si>
  <si>
    <t>Thay đổi hạng mục</t>
  </si>
  <si>
    <t>Add: Thêm</t>
  </si>
  <si>
    <t>Mô tả thay đổi gì trong phiên bản</t>
  </si>
  <si>
    <t>Tài liệu tham khảo là tài liệu nào</t>
  </si>
  <si>
    <t>Delete:Xóa</t>
  </si>
  <si>
    <t>Modify: Sửa</t>
  </si>
  <si>
    <t>Group:</t>
  </si>
  <si>
    <t>MEMBER</t>
  </si>
  <si>
    <t>STT</t>
  </si>
  <si>
    <t>Tên thành viên</t>
  </si>
  <si>
    <t>Nhiệm vụ</t>
  </si>
  <si>
    <t>A48132 Lương Ngọc Linh</t>
  </si>
  <si>
    <t>dev</t>
  </si>
  <si>
    <t>A48373_Nguyễn Văn Hưng</t>
  </si>
  <si>
    <t>A47153_Nguyễn Thị Ánh Tuyết</t>
  </si>
  <si>
    <t xml:space="preserve">frontend, test report </t>
  </si>
  <si>
    <t>A47189 Nguyễn Thành Đạt</t>
  </si>
  <si>
    <t>frontend</t>
  </si>
  <si>
    <t>A48463_Nguyễn Minh Sơn</t>
  </si>
  <si>
    <t>BA , test design</t>
  </si>
  <si>
    <t>A47232_Võ Lê Thảo Nguyên</t>
  </si>
  <si>
    <t xml:space="preserve">         </t>
  </si>
  <si>
    <t>FUNCTION</t>
  </si>
  <si>
    <t>Funtion level 1</t>
  </si>
  <si>
    <t>Funtion level 2</t>
  </si>
  <si>
    <t>Action &amp; Even</t>
  </si>
  <si>
    <t>Quản lý Tài khoản &amp; Phân quyền</t>
  </si>
  <si>
    <t>Đăng ký tài khoản</t>
  </si>
  <si>
    <t>Action: Khách hàng nhập thông tin (Tên, SĐT, Email, Mật khẩu) và nhấn "Tạo tài khoản" .</t>
  </si>
  <si>
    <t>Event: Hệ thống kiểm tra trùng lặp SĐT/Email. Nếu hợp lệ, hệ thống mã hóa mật khẩu, lưu CSDL, thông báo thành công và chuyển hướng sang trang Đăng nhập. Nếu trùng lặp, báo lỗi.</t>
  </si>
  <si>
    <t>Đăng nhập hệ thống</t>
  </si>
  <si>
    <t>Action: Người dùng nhập SĐT/Email, mật khẩu và nhấn "Đăng nhập" .</t>
  </si>
  <si>
    <t>Event: Hệ thống kiểm tra CSDL, so sánh mật khẩu, kiểm tra trạng thái. Nếu đúng, phân quyền và chuyển hướng (Khách về Trang chủ, Admin vào Dashboard). Nếu sai, hiển thị thông báo lỗi.</t>
  </si>
  <si>
    <t>Khôi phục mật khẩu</t>
  </si>
  <si>
    <t>Action: Khách hàng nhấn "Quên mật khẩu?" và nhập Email yêu cầu reset. Truy cập link trong email, nhập và xác nhận mật khẩu mới</t>
  </si>
  <si>
    <t>Event: Hệ thống gửi mã Token/OTP kèm link. Kiểm tra mật khẩu khớp, mã hóa mật khẩu mới, cập nhật CSDL và báo thành công.</t>
  </si>
  <si>
    <t>Quản lý Hồ sơ &amp; Địa chỉ</t>
  </si>
  <si>
    <t>Action: Khách hàng thay đổi thông tin (Tên, ngày sinh) hoặc thêm, thiết lập địa chỉ mặc định rồi nhấn "Lưu" .</t>
  </si>
  <si>
    <t>Event: Hệ thống cập nhật thông tin vào CSDL và báo thành công.</t>
  </si>
  <si>
    <t>Đổi mật khẩu</t>
  </si>
  <si>
    <t>Action: Khách hàng nhập mật khẩu hiện tại, mật khẩu mới, xác nhận và nhấn "Cập nhật" .</t>
  </si>
  <si>
    <t>Event: Hệ thống kiểm tra mật khẩu hiện tại. Nếu khớp, mã hóa mật khẩu mới, cập nhật CSDL và thông báo thành công</t>
  </si>
  <si>
    <t>Trải nghiệm Mua sắm</t>
  </si>
  <si>
    <t>Xem Trang chủ</t>
  </si>
  <si>
    <t>Action: Khách hàng truy cập website. Nhấn vào các thành phần (Banner, Danh mục) để chuyển hướng .</t>
  </si>
  <si>
    <t>Event: Hệ thống truy vấn CSDL (Banner, danh mục, sản phẩm nổi bật), render và hiển thị giao diện</t>
  </si>
  <si>
    <t>Tra cứu &amp; Xem chi tiết</t>
  </si>
  <si>
    <t>Action: Khách hàng nhập từ khóa hoặc chọn danh mục, sau đó nhấp vào sản phẩm cụ thể .</t>
  </si>
  <si>
    <t>Event: Hệ thống truy vấn CSDL, trả về danh sách kèm thanh trạng thái tồn kho. Lấy thêm chi tiết mô tả, đánh giá, kiểm tra tồn kho để hiện nút "Thêm vào đơn".</t>
  </si>
  <si>
    <t>Truy xuất nguồn gốc</t>
  </si>
  <si>
    <r>
      <rPr>
        <rFont val="Calibri"/>
        <color theme="1"/>
        <sz val="11.0"/>
      </rPr>
      <t>Action:</t>
    </r>
    <r>
      <rPr>
        <rFont val="Calibri"/>
        <color theme="1"/>
        <sz val="11.0"/>
      </rPr>
      <t xml:space="preserve"> Khách hàng nhấn nút "Xem nguồn gốc" tại sản phẩm</t>
    </r>
  </si>
  <si>
    <r>
      <rPr>
        <rFont val="Calibri"/>
        <color theme="1"/>
        <sz val="11.0"/>
      </rPr>
      <t>Event:</t>
    </r>
    <r>
      <rPr>
        <rFont val="Calibri"/>
        <color theme="1"/>
        <sz val="11.0"/>
      </rPr>
      <t xml:space="preserve"> Hệ thống tìm Lô hàng (Active Batch), lấy dữ liệu Nhật ký canh tác (Logs) từ CSDL và hiển thị Popup Modal dạng Timeline .</t>
    </r>
  </si>
  <si>
    <t>Quản lý Giỏ hàng</t>
  </si>
  <si>
    <r>
      <rPr>
        <rFont val="Calibri"/>
        <color theme="1"/>
        <sz val="11.0"/>
      </rPr>
      <t>Action:</t>
    </r>
    <r>
      <rPr>
        <rFont val="Calibri"/>
        <color theme="1"/>
        <sz val="11.0"/>
      </rPr>
      <t xml:space="preserve"> Khách hàng nhấn "Thêm vào đơn", cập nhật số lượng (+/-) hoặc nhấn biểu tượng Xóa</t>
    </r>
  </si>
  <si>
    <r>
      <rPr>
        <rFont val="Calibri"/>
        <color theme="1"/>
        <sz val="11.0"/>
      </rPr>
      <t>Event:</t>
    </r>
    <r>
      <rPr>
        <rFont val="Calibri"/>
        <color theme="1"/>
        <sz val="11.0"/>
      </rPr>
      <t xml:space="preserve"> Hệ thống kiểm tra tồn kho. Lưu giỏ hàng tạm, cập nhật Tổng tiền và hiển thị thông báo thành công hoặc báo lỗi nếu quá tồn kho .</t>
    </r>
  </si>
  <si>
    <t>Đặt hàng</t>
  </si>
  <si>
    <t>Action: Khách hàng nhấn "Tiến hành đặt hàng", áp dụng mã khuyến mãi, chọn thanh toán và nhấn "Xác nhận Đặt hàng" .</t>
  </si>
  <si>
    <r>
      <rPr>
        <rFont val="Calibri"/>
        <color theme="1"/>
        <sz val="11.0"/>
      </rPr>
      <t>Event:</t>
    </r>
    <r>
      <rPr>
        <rFont val="Calibri"/>
        <color theme="1"/>
        <sz val="11.0"/>
      </rPr>
      <t xml:space="preserve"> Hệ thống tính lại tổng tiền (nếu có mã). Thực hiện trừ kho trực tiếp (Atomic Update) và gán Lô hàng. Tạo đơn hàng trạng thái "Chờ xử lý", tạo chi tiết đơn, gửi email và báo thành công.</t>
    </r>
  </si>
  <si>
    <t>Quản lý Lịch sử đơn hàng</t>
  </si>
  <si>
    <r>
      <rPr>
        <rFont val="Calibri"/>
        <color theme="1"/>
        <sz val="11.0"/>
      </rPr>
      <t>Action:</t>
    </r>
    <r>
      <rPr>
        <rFont val="Calibri"/>
        <color theme="1"/>
        <sz val="11.0"/>
      </rPr>
      <t xml:space="preserve"> Khách hàng vào "Đơn mua", xem chi tiết hoặc nhấn "Hủy đơn hàng" (nếu đang chờ xác nhận) .</t>
    </r>
  </si>
  <si>
    <r>
      <rPr>
        <rFont val="Calibri"/>
        <color theme="1"/>
        <sz val="11.0"/>
      </rPr>
      <t>Event:</t>
    </r>
    <r>
      <rPr>
        <rFont val="Calibri"/>
        <color theme="1"/>
        <sz val="11.0"/>
      </rPr>
      <t xml:space="preserve"> Hệ thống lấy dữ liệu CSDL, phân loại theo Tab trạng thái. Nếu khách hủy, cập nhật thành "Đã hủy" và hoàn lại tồn kho.</t>
    </r>
  </si>
  <si>
    <t>Đánh giá sản phẩm</t>
  </si>
  <si>
    <r>
      <rPr>
        <rFont val="Calibri"/>
        <color theme="1"/>
        <sz val="11.0"/>
      </rPr>
      <t>Action:</t>
    </r>
    <r>
      <rPr>
        <rFont val="Calibri"/>
        <color theme="1"/>
        <sz val="11.0"/>
      </rPr>
      <t xml:space="preserve"> Khách hàng nhấn "Đánh giá", chọn số sao, nhập nội dung và nhấn "Gửi đánh giá"</t>
    </r>
  </si>
  <si>
    <r>
      <rPr>
        <rFont val="Calibri"/>
        <color theme="1"/>
        <sz val="11.0"/>
      </rPr>
      <t>Event:</t>
    </r>
    <r>
      <rPr>
        <rFont val="Calibri"/>
        <color theme="1"/>
        <sz val="11.0"/>
      </rPr>
      <t xml:space="preserve"> Hệ thống lưu vào bảng PRODUCT_REVIEWS, cập nhật trạng thái Is_Reviewed=True cho dòng chi tiết đơn, tính lại Điểm trung bình và hiển thị.</t>
    </r>
  </si>
  <si>
    <t>Yêu cầu Trả hàng / Hoàn tiền</t>
  </si>
  <si>
    <r>
      <rPr>
        <rFont val="Calibri"/>
        <color theme="1"/>
        <sz val="11.0"/>
      </rPr>
      <t>Action:</t>
    </r>
    <r>
      <rPr>
        <rFont val="Calibri"/>
        <color theme="1"/>
        <sz val="11.0"/>
      </rPr>
      <t xml:space="preserve"> Khách hàng chọn "Yêu cầu Trả hàng", chọn lý do, tải ảnh minh chứng và nhấn "Gửi yêu cầu"</t>
    </r>
  </si>
  <si>
    <r>
      <rPr>
        <rFont val="Calibri"/>
        <color theme="1"/>
        <sz val="11.0"/>
      </rPr>
      <t>Event:</t>
    </r>
    <r>
      <rPr>
        <rFont val="Calibri"/>
        <color theme="1"/>
        <sz val="11.0"/>
      </rPr>
      <t xml:space="preserve"> Hệ thống lưu khiếu nại, chuyển trạng thái đơn sang "Đang khiếu nại" và thông báo gửi yêu cầu thành công.</t>
    </r>
  </si>
  <si>
    <t>Quản lý Bán hàng &amp; Kho</t>
  </si>
  <si>
    <t>Quản lý Sản phẩm</t>
  </si>
  <si>
    <t>Action: Admin nhập thông tin sản phẩm mới (Tên, giá, ảnh, mô tả), chọn trạng thái "Đang bán" và Lưu .</t>
  </si>
  <si>
    <t>Event: Hệ thống thêm sản phẩm vào bảng Product trong CSDL và hiển thị lên danh sách</t>
  </si>
  <si>
    <t>Quản lý Lô &amp; Nhật ký</t>
  </si>
  <si>
    <t>Action: Admin thêm Lô hàng mới. Nhấn "Thêm nhật ký", nhập ngày, mô tả, tải ảnh thực tế và "Xuất bản" .</t>
  </si>
  <si>
    <t>Event: Hệ thống tự động sinh Mã lô (Batch ID). Lưu dữ liệu vào bảng Farming_Log và cập nhật timeline.</t>
  </si>
  <si>
    <t>Nhập kho &amp; Quản lý tồn</t>
  </si>
  <si>
    <r>
      <rPr>
        <rFont val="Calibri"/>
        <color theme="1"/>
        <sz val="11.0"/>
      </rPr>
      <t>Action:</t>
    </r>
    <r>
      <rPr>
        <rFont val="Calibri"/>
        <color theme="1"/>
        <sz val="11.0"/>
      </rPr>
      <t xml:space="preserve"> Admin chọn Lô hàng, nhập số lượng thực nhập (hoặc xuất hủy nếu hỏng) .</t>
    </r>
  </si>
  <si>
    <r>
      <rPr>
        <rFont val="Calibri"/>
        <color theme="1"/>
        <sz val="11.0"/>
      </rPr>
      <t>Event:</t>
    </r>
    <r>
      <rPr>
        <rFont val="Calibri"/>
        <color theme="1"/>
        <sz val="11.0"/>
      </rPr>
      <t xml:space="preserve"> Hệ thống cộng số lượng vào bảng Inventory trong CSDL và xác nhận cập nhật kho thành công.</t>
    </r>
  </si>
  <si>
    <t xml:space="preserve">Xử lý Đơn hàng </t>
  </si>
  <si>
    <t>Action: Admin xem đơn "Chờ xử lý", kiểm tra kho và nhấn "Xác nhận đơn". Khi giao xong cập nhật "Hoàn thành" .</t>
  </si>
  <si>
    <r>
      <rPr>
        <rFont val="Calibri"/>
        <color theme="1"/>
        <sz val="11.0"/>
      </rPr>
      <t>Event:</t>
    </r>
    <r>
      <rPr>
        <rFont val="Calibri"/>
        <color theme="1"/>
        <sz val="11.0"/>
      </rPr>
      <t xml:space="preserve"> Hệ thống đổi trạng thái đơn sang "Đang giao", tạo Phiếu xuất kho, Phiếu giao hàng và gửi thông báo</t>
    </r>
  </si>
  <si>
    <t>Xử lý Hoàn tiền</t>
  </si>
  <si>
    <t>Action: Admin xem ảnh minh chứng khiếu nại, nhấn "Đồng ý hoàn tiền" hoặc "Từ chối" kèm lý do .</t>
  </si>
  <si>
    <r>
      <rPr>
        <rFont val="Calibri"/>
        <color theme="1"/>
        <sz val="11.0"/>
      </rPr>
      <t>Event:</t>
    </r>
    <r>
      <rPr>
        <rFont val="Calibri"/>
        <color theme="1"/>
        <sz val="11.0"/>
      </rPr>
      <t xml:space="preserve"> Hệ thống cập nhật trạng thái đơn ("Đã hoàn tiền" hoặc "Từ chối trả hàng"), hoàn tồn kho (nếu có) và gửi thông báo kết quả cho khách.</t>
    </r>
  </si>
  <si>
    <t>Kiểm duyệt đánh giá</t>
  </si>
  <si>
    <r>
      <rPr>
        <rFont val="Calibri"/>
        <color theme="1"/>
        <sz val="11.0"/>
      </rPr>
      <t>Action:</t>
    </r>
    <r>
      <rPr>
        <rFont val="Calibri"/>
        <color theme="1"/>
        <sz val="11.0"/>
      </rPr>
      <t xml:space="preserve"> Admin xem danh sách đánh giá. Nếu vi phạm, nhấn "Ẩn" hoặc "Xóa" .</t>
    </r>
  </si>
  <si>
    <r>
      <rPr>
        <rFont val="Calibri"/>
        <color theme="1"/>
        <sz val="11.0"/>
      </rPr>
      <t>Event:</t>
    </r>
    <r>
      <rPr>
        <rFont val="Calibri"/>
        <color theme="1"/>
        <sz val="11.0"/>
      </rPr>
      <t xml:space="preserve"> Hệ thống cập nhật trạng thái đánh giá thành "Hidden", ẩn khỏi danh sách hiển thị.</t>
    </r>
  </si>
  <si>
    <t>Quản lý Khuyến mãi</t>
  </si>
  <si>
    <r>
      <rPr>
        <rFont val="Calibri"/>
        <color theme="1"/>
        <sz val="11.0"/>
      </rPr>
      <t>Action:</t>
    </r>
    <r>
      <rPr>
        <rFont val="Calibri"/>
        <color theme="1"/>
        <sz val="11.0"/>
      </rPr>
      <t xml:space="preserve"> Admin tạo mã giảm giá, nhập Mã, loại giảm, điều kiện, thời hạn, số lượng và "Kích hoạt"</t>
    </r>
  </si>
  <si>
    <r>
      <rPr>
        <rFont val="Calibri"/>
        <color theme="1"/>
        <sz val="11.0"/>
      </rPr>
      <t>Event:</t>
    </r>
    <r>
      <rPr>
        <rFont val="Calibri"/>
        <color theme="1"/>
        <sz val="11.0"/>
      </rPr>
      <t xml:space="preserve"> Hệ thống lưu vào bảng Promotions trong CSDL và thông báo kích hoạt mã thành công.</t>
    </r>
  </si>
  <si>
    <t>Xem Báo cáo</t>
  </si>
  <si>
    <r>
      <rPr>
        <rFont val="Calibri"/>
        <color theme="1"/>
        <sz val="11.0"/>
      </rPr>
      <t>Action:</t>
    </r>
    <r>
      <rPr>
        <rFont val="Calibri"/>
        <color theme="1"/>
        <sz val="11.0"/>
      </rPr>
      <t xml:space="preserve"> Admin truy cập Dashboard</t>
    </r>
  </si>
  <si>
    <r>
      <rPr>
        <rFont val="Calibri"/>
        <color theme="1"/>
        <sz val="11.0"/>
      </rPr>
      <t>Event:</t>
    </r>
    <r>
      <rPr>
        <rFont val="Calibri"/>
        <color theme="1"/>
        <sz val="11.0"/>
      </rPr>
      <t xml:space="preserve"> Hệ thống thực hiện lệnh SQL tổng hợp (Doanh thu, tồn kho, top bán chạy) từ CSDL, trực quan hóa và hiển thị lên biểu đồ .</t>
    </r>
  </si>
  <si>
    <t>TEST CASE LIST</t>
  </si>
  <si>
    <t>Test Environment Setup Description</t>
  </si>
  <si>
    <t>Môi trường Web (Trình duyệt Chrome/Edge), đã có sẵn dữ liệu mẫu (sản phẩm, lô hàng, tài khoản test).</t>
  </si>
  <si>
    <t>No(STT)</t>
  </si>
  <si>
    <t>Function Name(Tên chức năng)</t>
  </si>
  <si>
    <t>Sheet Name(Tên Sheet trong excel)</t>
  </si>
  <si>
    <t>Description(Mô tả)</t>
  </si>
  <si>
    <t>Pre-Condition(Điều kiện trước khi test)</t>
  </si>
  <si>
    <t>Đăng nhập</t>
  </si>
  <si>
    <t>dang_nhap</t>
  </si>
  <si>
    <t>Kiểm thử chức năng đăng nhập với thông tin hợp lệ và không hợp lệ.</t>
  </si>
  <si>
    <t>Có sẵn tài khoản hợp lệ, đang ở màn hình Đăng nhập.</t>
  </si>
  <si>
    <t>Đăng ký</t>
  </si>
  <si>
    <t>dang_ky</t>
  </si>
  <si>
    <t>Kiểm thử tạo tài khoản mới và các trường hợp lỗi do trùng lặp SĐT/Email.</t>
  </si>
  <si>
    <t>Khách chưa đăng nhập.</t>
  </si>
  <si>
    <t>doi_mat_khau</t>
  </si>
  <si>
    <t>Kiểm thử thay đổi mật khẩu khi nhập đúng mật khẩu hiện tại.</t>
  </si>
  <si>
    <t>Đã đăng nhập vào hệ thống.</t>
  </si>
  <si>
    <t>Tra cứu sản phẩm</t>
  </si>
  <si>
    <t>tra_cuu</t>
  </si>
  <si>
    <t>Kiểm thử tìm kiếm sản phẩm bằng từ khóa và hiển thị trạng thái tồn kho.</t>
  </si>
  <si>
    <t>Sản phẩm đã được khai báo và ở trạng thái "Đang bán".</t>
  </si>
  <si>
    <t>Quản lý giỏ hàng</t>
  </si>
  <si>
    <t>gio_hang</t>
  </si>
  <si>
    <t>Kiểm thử thêm sản phẩm vào giỏ khi còn hàng.</t>
  </si>
  <si>
    <t>Khách đang xem sản phẩm có trạng thái "Còn hàng" (Tồn kho &gt; 0).</t>
  </si>
  <si>
    <t>dat_hang</t>
  </si>
  <si>
    <t>Kiểm thử đặt hàng thành công (COD) và áp dụng mã khuyến mãi hợp lệ.</t>
  </si>
  <si>
    <t>Khách hàng đã đăng nhập, giỏ hàng có ít nhất một sản phẩm.</t>
  </si>
  <si>
    <t>Xử lý đơn hàng</t>
  </si>
  <si>
    <t>truy_xuat</t>
  </si>
  <si>
    <t>Kiểm thử xem nhật ký canh tác của sản phẩm thông qua Popup Modal.</t>
  </si>
  <si>
    <t>Hệ thống có dữ liệu Lô hàng đang bán của sản phẩm đó.</t>
  </si>
  <si>
    <t>Quản lý Kho</t>
  </si>
  <si>
    <t>xu_ly_don_hang</t>
  </si>
  <si>
    <t>Kiểm thử thao tác Admin xác nhận giao hàng và chuyển trạng thái đơn.</t>
  </si>
  <si>
    <t>Đã đăng nhập Admin/Kho, có đơn hàng trạng thái "Chờ xử lý".</t>
  </si>
  <si>
    <t>quan_ly_kho</t>
  </si>
  <si>
    <t>Kiểm thử cập nhật số lượng nhập kho thực tế cho lô hàng.</t>
  </si>
  <si>
    <t>Đã đăng nhập Admin/Thủ kho.</t>
  </si>
  <si>
    <t>quan_ly_lo</t>
  </si>
  <si>
    <t>Kiểm thử thêm nhật ký canh tác mới (tiêu đề, ngày, ảnh).</t>
  </si>
  <si>
    <t>Đã đăng nhập Admin, có lô hàng đang trong quá trình canh tác.</t>
  </si>
  <si>
    <t>kiem_duyet</t>
  </si>
  <si>
    <t>Kiểm thử thao tác Admin ẩn các đánh giá vi phạm từ khóa.</t>
  </si>
  <si>
    <t>Đã đăng nhập Admin/CSKH, hệ thống có các đánh giá mới.</t>
  </si>
  <si>
    <t>hoan_tien</t>
  </si>
  <si>
    <t>Kiểm thử việc Admin phê duyệt yêu cầu trả hàng của khách hàng.</t>
  </si>
  <si>
    <t>Đã đăng nhập Admin, có thông báo yêu cầu trả hàng mới.</t>
  </si>
  <si>
    <t>Module Code(Mã Module)</t>
  </si>
  <si>
    <t>Web_Login</t>
  </si>
  <si>
    <t>Pass</t>
  </si>
  <si>
    <t>Test requirement(Yêu cầu test)</t>
  </si>
  <si>
    <t>Fail</t>
  </si>
  <si>
    <t>Tester(Người thực hiện kiểm thử)</t>
  </si>
  <si>
    <t>Mã Sinh Viên</t>
  </si>
  <si>
    <t>Untested</t>
  </si>
  <si>
    <t>Untested(Chưa được Test)</t>
  </si>
  <si>
    <t>N/A(Không xác định)</t>
  </si>
  <si>
    <t>Number of Test cases (Số lượng TestCase)</t>
  </si>
  <si>
    <t>N/A</t>
  </si>
  <si>
    <t>ID (Mã chức năng)</t>
  </si>
  <si>
    <t>Test Title</t>
  </si>
  <si>
    <t>Test Case Description(Mô tả trường hợp)</t>
  </si>
  <si>
    <t>Test Case Procedure(Thủ tục thực hiện hay có thể dùng là Test Case Steps - Các bước thực hiện)</t>
  </si>
  <si>
    <t>Test Data (Dữ Liệu Truyền Vào Test)</t>
  </si>
  <si>
    <t>Expected Output(Kết quả mong muốn)</t>
  </si>
  <si>
    <t>Actual Result(Kết quả thực tế)</t>
  </si>
  <si>
    <t>Inter-test case Dependence (Những Test case liên quan để có thể thực  hiện được test case này)</t>
  </si>
  <si>
    <t>Result</t>
  </si>
  <si>
    <t>Test date (Ngày thực hiện)</t>
  </si>
  <si>
    <t>Note(ghi chú )</t>
  </si>
  <si>
    <t>SC_LOGIN_01</t>
  </si>
  <si>
    <t xml:space="preserve">Đăng nhập thành công </t>
  </si>
  <si>
    <t>Kiểm tra đăng nhập thành công với tài khoản khách hàng</t>
  </si>
  <si>
    <t>1. Mở trang đăng nhập 
2. Nhập email/password hợp lệ 
3. Click Đăng nhập</t>
  </si>
  <si>
    <t>Email: customer@example.com Pass: Abc@123456</t>
  </si>
  <si>
    <t>Đăng nhập thành công, chuyển hướng về Trang chủ, hiển thị tên user</t>
  </si>
  <si>
    <t>Đăng nhập thành công, hệ thống chuyển hướng về Trang chủ và hiển thị đúng tên user.</t>
  </si>
  <si>
    <t>-</t>
  </si>
  <si>
    <t>SC_LOGIN_02</t>
  </si>
  <si>
    <t>Kiểm tra đăng nhập thành công với tài khoản Admin</t>
  </si>
  <si>
    <t>1. Mở trang đăng nhập 
2. Nhập email/password Admin 
3. Click Đăng nhập</t>
  </si>
  <si>
    <t>Email: admin@system.com Pass: Admin@123</t>
  </si>
  <si>
    <t>Đăng nhập thành công, chuyển hướng về Admin Dashboard</t>
  </si>
  <si>
    <t>Đăng nhập thành công với quyền Admin, chuyển hướng về Admin Dashboard.</t>
  </si>
  <si>
    <t>SC_LOGIN_03</t>
  </si>
  <si>
    <t>Đăng nhập không thành công</t>
  </si>
  <si>
    <t>Kiểm tra xử lý khi nhập sai mật khẩu</t>
  </si>
  <si>
    <t>1. Nhập email đúng 
2. Nhập password sai 
3. Click Đăng nhập</t>
  </si>
  <si>
    <t>Email: customer@example.com Pass: WrongPass</t>
  </si>
  <si>
    <t>Hiển thị thông báo "Sai mật khẩu", không cho đăng nhập</t>
  </si>
  <si>
    <t>Hiển thị thông báo lỗi "Sai mật khẩu", không cho phép đăng nhập.</t>
  </si>
  <si>
    <t>SC_LOGIN_04</t>
  </si>
  <si>
    <t>Kiểm tra tài khoản chưa đăng ký</t>
  </si>
  <si>
    <t>1. Nhập email không tồn tại 
2. Nhập password bất kỳ 
3. Click Đăng nhập</t>
  </si>
  <si>
    <t>Email: notexist@abc.com Pass: Abc@123456</t>
  </si>
  <si>
    <t>Hiển thị "Tài khoản không tồn tại"</t>
  </si>
  <si>
    <t>Hiển thị thông báo lỗi "Tài khoản không tồn tại".</t>
  </si>
  <si>
    <t>SC_LOGIN_05</t>
  </si>
  <si>
    <t>Kiểm tra xử lý khi nhập sai email</t>
  </si>
  <si>
    <t>1. Nhập email sai 
2. Nhập password đúng 
3. Click Đăng nhập</t>
  </si>
  <si>
    <t>Email: wrong@example.com Pass: WrongPass</t>
  </si>
  <si>
    <t>Hiển thị thông báo "Sai email", không cho đăng nhập</t>
  </si>
  <si>
    <t>Hiển thị thông báo lỗi "Sai email", không vào được hệ thống.</t>
  </si>
  <si>
    <t>SC_LOGIN_06</t>
  </si>
  <si>
    <t>Kiểm tra validation khi để trống</t>
  </si>
  <si>
    <t>1. Để trống email &amp; password 
2. Click Đăng nhập</t>
  </si>
  <si>
    <t>Email: (trống) Pass: (trống)</t>
  </si>
  <si>
    <t>Hiển thị lỗi "Vui lòng nhập email/mật khẩu"</t>
  </si>
  <si>
    <t>Hệ thống báo lỗi "Vui lòng nhập email/mật khẩu" tại các trường để trống.</t>
  </si>
  <si>
    <t>SC_REG_01</t>
  </si>
  <si>
    <t>Đăng ký thành công</t>
  </si>
  <si>
    <t>Đăng ký tài khoản mới thành công</t>
  </si>
  <si>
    <t>1. Vào trang đăng ký 
2. Nhập đầy đủ thông tin hợp lệ 
3. Click Đăng ký</t>
  </si>
  <si>
    <t>Email: newuser@gmail.com Pass: Abc@123456 Confirm: Abc@123456</t>
  </si>
  <si>
    <t>Đăng ký thành công, thông báo, chuyển sang login</t>
  </si>
  <si>
    <t>Đăng ký thành công, hiển thị thông báo và chuyển sang trang đăng nhập.</t>
  </si>
  <si>
    <t>SC_REG_02</t>
  </si>
  <si>
    <t>Đăng kí không thành công</t>
  </si>
  <si>
    <t>Email đã tồn tại</t>
  </si>
  <si>
    <t>1. Nhập email đã đăng ký trước đó</t>
  </si>
  <si>
    <t>Email: customer@example.com</t>
  </si>
  <si>
    <t>Hiển thị "Email đã tồn tại"</t>
  </si>
  <si>
    <t>Hiển thị thông báo lỗi "Email đã tồn tại".</t>
  </si>
  <si>
    <t>SC_REG_03</t>
  </si>
  <si>
    <t>Xác nhận mật khẩu không giống</t>
  </si>
  <si>
    <t>1. Nhập password và confirm khác nhau</t>
  </si>
  <si>
    <t>Pass: Abc@123456 Confirm: Xyz@999999</t>
  </si>
  <si>
    <t>Hiển thị lỗi "Mật khẩu xác nhận không khớp"</t>
  </si>
  <si>
    <t>Hiển thị lỗi "Mật khẩu xác nhận không khớp".</t>
  </si>
  <si>
    <t>SC_REG_04</t>
  </si>
  <si>
    <t>Để trống một số trường bắt buộc</t>
  </si>
  <si>
    <t>1. Để trống Fullname hoặc Phone</t>
  </si>
  <si>
    <t>Fullname: (trống)</t>
  </si>
  <si>
    <t>Hiển thị lỗi bắt buộc cho trường trống</t>
  </si>
  <si>
    <t>Hệ thống hiển thị lỗi bắt buộc nhập cho các trường Fullname/Phone đang để trống.</t>
  </si>
  <si>
    <t>SC_REG_05</t>
  </si>
  <si>
    <t>Email không đúng định dạng</t>
  </si>
  <si>
    <t>1. Nhập email sai format</t>
  </si>
  <si>
    <t>Email: test@abc</t>
  </si>
  <si>
    <t>Hiển thị "Email không hợp lệ"</t>
  </si>
  <si>
    <t>Hiển thị thông báo lỗi "Email không hợp lệ".</t>
  </si>
  <si>
    <t>SC_FORGOT_01</t>
  </si>
  <si>
    <t>Gửi OTP thành công</t>
  </si>
  <si>
    <t>Gửi OTP về email hợp lệ</t>
  </si>
  <si>
    <t>1. Nhập email tồn tại 
2. Click Gửi OTP</t>
  </si>
  <si>
    <t>Hiển thị "OTP đã được gửi", chuyển sang nhập OTP</t>
  </si>
  <si>
    <t>Hệ thống báo "OTP đã được gửi" và chuyển sang màn hình nhập OTP.</t>
  </si>
  <si>
    <t>SC_FORGOT_02</t>
  </si>
  <si>
    <t>Khôi phục mật khẩu không thành công</t>
  </si>
  <si>
    <t>Email chưa đăng ký</t>
  </si>
  <si>
    <t>1. Nhập email không tồn tại</t>
  </si>
  <si>
    <t>Email: unknown@abc.com</t>
  </si>
  <si>
    <t>Hiển thị "Email không tồn tại"</t>
  </si>
  <si>
    <t>Hiển thị thông báo lỗi "Email không tồn tại".</t>
  </si>
  <si>
    <t>SC_FORGOT_03</t>
  </si>
  <si>
    <t>OTP hết thời gian hiệu lực</t>
  </si>
  <si>
    <t>1. Nhận OTP 
2. Chờ &gt; 5 phút 
3. Nhập OTP</t>
  </si>
  <si>
    <t>OTP cũ (hết hạn)</t>
  </si>
  <si>
    <t>Hiển thị "OTP đã hết hạn, vui lòng yêu cầu lại"</t>
  </si>
  <si>
    <t>Hiển thị lỗi "OTP đã hết hạn, vui lòng yêu cầu lại".</t>
  </si>
  <si>
    <t>SC_FORGOT_04</t>
  </si>
  <si>
    <t>Xác nhận mật khẩu mới không khớp</t>
  </si>
  <si>
    <t>1. Nhập OTP đúng 
2. Nhập pass mới &amp; confirm khác</t>
  </si>
  <si>
    <t>Pass: New@123 Confirm: New@456</t>
  </si>
  <si>
    <t>Hiển thị lỗi "Mật khẩu không khớp"</t>
  </si>
  <si>
    <t>Hiển thị thông báo "Mật khẩu không khớp" khi xác nhận mật khẩu mới.</t>
  </si>
  <si>
    <t>SC_CHANGE_01</t>
  </si>
  <si>
    <t>Đổi mật khẩu thành công</t>
  </si>
  <si>
    <t>Thay đổi mật khẩu đúng quy trình</t>
  </si>
  <si>
    <t>1. Đăng nhập 
2. Vào trang đổi mật khẩu 
3. Nhập pass cũ + pass mới</t>
  </si>
  <si>
    <t>Old pass: Abc@123456 New pass: NewPass@999</t>
  </si>
  <si>
    <t>Đổi thành công, thông báo, yêu cầu đăng nhập lại</t>
  </si>
  <si>
    <t>Đổi mật khẩu thành công, hiển thị thông báo và yêu cầu người dùng đăng nhập lại.</t>
  </si>
  <si>
    <t>SC_CHANGE_02</t>
  </si>
  <si>
    <t>Đổi mật khẩu không thành công</t>
  </si>
  <si>
    <t>Nhập sai mật khẩu hiện tại</t>
  </si>
  <si>
    <t>1. Nhập old pass sai</t>
  </si>
  <si>
    <t>Old pass: WrongPass</t>
  </si>
  <si>
    <t>Hiển thị "Mật khẩu cũ không đúng"</t>
  </si>
  <si>
    <t>Hệ thống báo lỗi "Mật khẩu cũ không đúng".</t>
  </si>
  <si>
    <t>SC_CHANGE_03</t>
  </si>
  <si>
    <t>New pass = Old pass</t>
  </si>
  <si>
    <t>1. Nhập new pass giống old pass</t>
  </si>
  <si>
    <t>Hiển thị "Mật khẩu mới phải khác mật khẩu cũ"</t>
  </si>
  <si>
    <t>Hiển thị thông báo lỗi "Mật khẩu mới phải khác mật khẩu cũ".</t>
  </si>
  <si>
    <t>SC_CHANGE_04</t>
  </si>
  <si>
    <t>1. Nhập new pass và confirm khác nhau</t>
  </si>
  <si>
    <t>New: New@123 Confirm: New@456</t>
  </si>
  <si>
    <t>Hiển thị lỗi confirm sai</t>
  </si>
  <si>
    <t>Hiển thị lỗi xác nhận mật khẩu mới (confirm) không khớp.</t>
  </si>
  <si>
    <t>Note (Ghi Chú)</t>
  </si>
  <si>
    <t>Thông tin đơn đặt hàng</t>
  </si>
  <si>
    <t>Pass orr Fail</t>
  </si>
  <si>
    <t>DDH_1</t>
  </si>
  <si>
    <t>Thông tin đơn đặt hàng thành công</t>
  </si>
  <si>
    <t>Hiển thị tất cả thông tin đơn hàng thành công</t>
  </si>
  <si>
    <t>1. Đăng nhập vào hệ thống quản lý đơn hàng.
2. Tạo một hoặc nhiều đơn hàng trong hệ thống.
3. Tìm kiếm đơn hàng bằng cách sử dụng mã đơn hàng hoặc tìm kiếm theo ngày đặt hàng.
4. Chọn một đơn hàng để hiển thị thông tin đơn hàng chi tiết.
5. Kiểm tra xem thông tin đơn hàng đã được hiển thị đầy đủ và chính xác.
6. Lặp lại bước 4-5 cho mỗi đơn hàng trong hệ thống.
7. Kiểm tra kết quả của các bước kiểm tra và xác nhận rằng tất cả thông tin đơn hàng được hiển thị đầy đủ và chính xác.
8. Ghi nhận kết quả kiểm thử và báo cáo bất kỳ lỗi nào nếu có</t>
  </si>
  <si>
    <t>Đơn hàng: #DH001
Tên khách hàng: John Smith
Địa chỉ giao hàng: 123 Main Street, New York, NY 10001
Số điện thoại liên hệ: 555-1234
Sản phẩm đặt hàng: Bơ Mexico
Số lượng: 2
Giá tiền: $50
Phí vận chuyển: $10
Tổng tiền cần thanh toán: $110</t>
  </si>
  <si>
    <t xml:space="preserve">Đăng nhập vào hệ thống 
giao diện linh hoạt ,dễ thao tác
</t>
  </si>
  <si>
    <t>DDH_2</t>
  </si>
  <si>
    <t>Thông tin đơn đặt hàng thất bại</t>
  </si>
  <si>
    <t>Nhấn vào xem thông tin đơn không hiện đơn đặt hàng</t>
  </si>
  <si>
    <t>1. Mở trình duyệt ứng dung và truy cập vào hệ thống đơn hàng
2. Tìm kiếm đơn hàng
3. Nhấn vào nút "Xem chi tiết" của đơn hàng
4. Kiểm tra xem hệ thống hiển thị thông báo lỗi "Đơn hàng không tồn tại" hay không
5. Hệ thống hiển thị thông báo lỗi "Đơn hàng không tồn tại"</t>
  </si>
  <si>
    <t>Mã đơn hàng: DH999 (đơn hàng không tồn tại)</t>
  </si>
  <si>
    <t>Hệ thống hiển thị thông báo lỗi "Đơn hàng không tồn tại</t>
  </si>
  <si>
    <t>Đơn hàng không tồn tại</t>
  </si>
  <si>
    <t>không</t>
  </si>
  <si>
    <t>Xác nhận đơn đặt hàng</t>
  </si>
  <si>
    <t>DDH_3</t>
  </si>
  <si>
    <t>Xác nhận đơn đặt hàng thành công</t>
  </si>
  <si>
    <t xml:space="preserve">Xác nhận đơn đặt hàng với thông tin hợp lệ </t>
  </si>
  <si>
    <t xml:space="preserve">1.	Mở trình duyệt ứng dung và truy cập vào trang ứng dung đặt hàng 
2.	Tạo một tài khoản khách hàng mới hoặc đăng nhập vào tài khoản khách hàng đã có 
3.	Chọn sản phẩm cần mua và thêm vào giỏ hàng Kiểm tra lại thông tin sản phẩm trong giỏ hàng để đảm bảo rằng chúng đúng và đầy đủ 
4.	Nhập thông tin địa chỉ giao hàng và kiểm tra lại để đảm bảo rằng chúng đúng và đầy đủ
5.	Chọn các phương thức thanh toán 
6.	Xác nhận đơn đặt hàng và kiểm tra lại thông tin đơn hàng để đảm bảo rằng chúng đúng và đầy đủ.
7.	 Kiểm tra cơ sở dữ liệu để đảm bảo rằng thông tin đơn đặt hàng đã được lưu trữ chính xác. 
8.	Kiểm tra lại trang thông tin đơn đặt hàng để đảm bảo rằng thông tin đơn đặt hàng đã được hiển thị đúng và đầy đủ.
</t>
  </si>
  <si>
    <t>1. Thông tin khách hàng:
Họ tên: Nguyễn Văn A
Email: testemail@gmail.com
Số điện thoại: 0901234567
Địa chỉ: 123 Đường ABC, Quận 1, TP. HCM
2. Sản phẩm đặt hàng:
Tên sản phẩm: Bơ Mexico
Giá sản phẩm: 200.000 VNĐ
Số lượng: 2
3. Phương thức thanh toán:
Thanh toán qua thẻ tín dụng
Số thẻ: 1234-5678-9012-3456
Hạn sử dụng: 12/25
Mã bảo mật: 123
4. Địa chỉ giao hàng:......</t>
  </si>
  <si>
    <t>Hệ thống sẽ xác nhận đơn đặt hàng thành công với các thông tin đầy đủ và chính xác</t>
  </si>
  <si>
    <t>DDH_4</t>
  </si>
  <si>
    <t>Xác nhận đơn đặt hàng thất bại</t>
  </si>
  <si>
    <t>Xác nhận đặt hàng với thông tin không hợp lệ</t>
  </si>
  <si>
    <t xml:space="preserve">1.	Truy cập trang đặt hàng trên hệ thống 
2.	Nhập thông tin khách hàng, sản phẩm, giá cả, địa chỉ giao hàng và hình thức giao hàng 
3.	Xác nhận đơn đặt hàng
4.	 Kiểm tra thông báo lỗi hiển thị trên trang đặt hàng hoặc trang thông tin đơn đặt hàng để xem lỗi nào đã xảy ra và thông tin bị thiếu hoặc không hợp lệ
5.	 Kiểm tra email hoặc tin nhắn xác nhận đơn đặt hàng đã được gửi đến khách hàng (nếu có) 
6.	Kiểm tra cơ sở dữ liệu của hệ thống để đảm bảo thông tin đơn đặt hàng không được lưu trữ hoặc lưu trữ không đầy đủ và chính xác
</t>
  </si>
  <si>
    <t>Thiếu thông tin khách hàng:
Họ tên: (không nhập)
Email: testemail@gmail.com
Số điện thoại: 0901234567
Địa chỉ: 123 Đường ABC, Quận 1, TP. HCM
Sản phẩm đặt hàng:
Tên sản phẩm: Bơ Mexico
Giá sản phẩm: 200.000 VNĐ
Số lượng: 2
Hình thức giao hàng: Giao hàng tận nơi</t>
  </si>
  <si>
    <t>Hệ thống hiển thị thông báo lỗi về việc thiếu thông tin khách hàng, không xác định được địa chỉ hoặc hình thức giao hàng.
Không có email hoặc tin nhắn xác nhận đơn đặt hàng được gửi đến khách hàng.
Thông tin đơn đặt hàng không được lưu trữ hoặc lưu trữ không đầy đủ và chính xác trong cơ sở dữ liệu của hệ thống.</t>
  </si>
  <si>
    <t>Hệ thống hiển thị thông báo lỗi</t>
  </si>
  <si>
    <t>DDH_5</t>
  </si>
  <si>
    <t>Xác nhận đặt hàng với loại thanh toán không hợp lệ</t>
  </si>
  <si>
    <t xml:space="preserve">1.	Xác nhận đặt hàng với loại thanh toán không hợp lệ 
2.	Nhập thông tin khách hàng, sản phẩm, giá cả, địa chỉ giao hàng và loại thanh toán
3.	 Xác nhận đơn đặt hàng
4.	 Kiểm tra thông báo lỗi hiển thị trên trang đặt hàng hoặc trang thông tin đơn đặt hàng để xem lỗi nào đã xảy ra và thông tin bị thiếu hoặc không hợp lệ
5.	 Kiểm tra email hoặc tin nhắn xác nhận đơn đặt hàng đã được gửi đến khách hàng (nếu có)
6.	 Kiểm tra cơ sở dữ liệu của hệ thống để đảm bảo thông tin đơn đặt hàng không được lưu trữ hoặc lưu trữ không đầy đủ và chính xác
</t>
  </si>
  <si>
    <t>Loại thanh toán không hợp lệ: Thẻ ATM
Thông tin khách hàng:
Họ tên: Nguyễn Văn A
Email: testemail@gmail.com
Số điện thoại: 0901234567
Địa chỉ: 123 Đường ABC, Quận 1, TP. HCM
Sản phẩm đặt hàng:
Tên sản phẩm: Bơ Mexico
Giá sản phẩm: 200.000 VNĐ
Số lượng: 2
Hình thức giao hàng: Giao hàng tận nơi
Loại thanh toán: Thẻ ATM</t>
  </si>
  <si>
    <t>Hệ thống hiển thị thông báo lỗi về việc loại thanh toán không được hỗ trợ hoặc không hợp lệ.</t>
  </si>
  <si>
    <t>Xử lý đơn đặt hàng</t>
  </si>
  <si>
    <t>DDH_6</t>
  </si>
  <si>
    <t>Xứ lý đơn đặt hàng thành công</t>
  </si>
  <si>
    <t>Gửi đơn đặt hàng đến nhà cung cấp và nhà sản xuất thành công</t>
  </si>
  <si>
    <t xml:space="preserve">1.	Đăng nhập vào hệ thống quản lý đơn đặt hàng.
2.	 Chọn nhà cung cấp và nhà sản xuất tương ứng để đặt hàng. 
3.	Nhập thông tin đơn đặt hàng (số lượng, giá cả, địa chỉ giao hàng, thời gian giao hàng,...). 
4.	Xác nhận thông tin đơn đặt hàng và gửi đơn đặt hàng. 
5.	Kiểm tra email hoặc thông báo từ hệ thống để xác nhận rằng đơn đặt hàng đã được gửi thành công.
</t>
  </si>
  <si>
    <t>Tên nhà cung cấp: ABC Company
Tên nhà sản xuất: XYZ Manufacturer
Số lượng sản phẩm: 50
Giá cả sản phẩm: 100,000 VND/sản phẩm
Địa chỉ giao hàng: Số 10, đường A, phường B, quận C, TP.HCM
Thời gian giao hàng: 3 ngày</t>
  </si>
  <si>
    <t xml:space="preserve">Đơn đặt hàng đã được gửi thành công đến nhà cung cấp </t>
  </si>
  <si>
    <t>DDH_7</t>
  </si>
  <si>
    <t xml:space="preserve">Cập nhập trạng thái đơn đặt hàng thành công </t>
  </si>
  <si>
    <t xml:space="preserve">1.	Đăng nhập vào hệ thống quản lý đơn đặt hàng. 
2.	Tìm kiếm đơn đặt hàng cần cập nhật thông tin trạng thái. 
3.	Chọn đơn đặt hàng cần cập nhật trạng thái. 
4.	Chọn trạng thái mới của đơn đặt hàng và cập nhật thông tin.
5.	 Lưu thông tin thay đổi. 
6.	Kiểm tra lại thông tin của đơn đặt hàng để xác nhận rằng trạng thái đã được cập nhật thành công.
</t>
  </si>
  <si>
    <t>Mã đơn đặt hàng: 12345
Trạng thái hiện tại: Đang xử lý
Trạng thái mới: Đã giao hàng</t>
  </si>
  <si>
    <t>"Trạng thái đơn đặt hàng 12345 đã được cập nhật thành công và hiện tại là Đã giao hàng"</t>
  </si>
  <si>
    <t>"Cập nhật trạng thái đơn đặt hàng thành công"</t>
  </si>
  <si>
    <t>DDH_8</t>
  </si>
  <si>
    <t>Xác nhận đơn đặt hàng từ nhà cung cấp và nhà sản xuất thành công</t>
  </si>
  <si>
    <t xml:space="preserve">1.	Đăng nhập vào hệ thống quản lý đơn đặt hàng. 
2.	Tìm kiếm đơn đặt hàng cần xác nhận. 
3.	Chọn đơn đặt hàng cần xác nhận. 
4.	Kiểm tra thông tin của đơn đặt hàng, bao gồm số lượng sản phẩm, giá cả và thông tin khách hàng. 
5.	Xác nhận thông tin đơn đặt hàng từ nhà cung cấp và nhà sản xuất. 
6.	Cập nhật trạng thái của đơn đặt hàng thành "Chờ giao hàng". 
7.	Lưu thông tin thay đổi. 
8.	Gửi email thông báo đến khách hàng xác nhận rằng đơn đặt hàng đã được xác nhận và thông tin chi tiết về đơn đặt hàng.
</t>
  </si>
  <si>
    <t>Mã đơn đặt hàng: 12345
Số lượng sản phẩm: 10
Giá cả: 100 USD
Thông tin khách hàng: John Doe, john.doe@example.com</t>
  </si>
  <si>
    <t>"Đơn đặt hàng 12345 đã được xác nhận thành công".</t>
  </si>
  <si>
    <t>"Xác nhận đơn đặt hàng từ nhà cung cấp và nhà sản xuất thành công"</t>
  </si>
  <si>
    <t>DDH_9</t>
  </si>
  <si>
    <t>Gửi thông báo đến khách hàng thành công</t>
  </si>
  <si>
    <t xml:space="preserve">1.	Đăng nhập vào hệ thống quản lý đơn đặt hàng.
2.	 Tìm kiếm đơn đặt hàng cần gửi thông báo đến khách hàng. 
3.	Chọn đơn đặt hàng cần gửi thông báo đến khách hàng. 
4.	Kiểm tra thông tin của đơn đặt hàng, bao gồm số lượng sản phẩm, giá cả và thông tin khách hàng. 
5.	Nhập nội dung thông báo. Gửi thông báo đến khách hàng. 
6.	Lưu thông tin thay đổi.
</t>
  </si>
  <si>
    <t>Mã đơn đặt hàng: 12345
Số lượng sản phẩm: 10
Giá cả: 100 USD
Thông tin khách hàng: John Doe, john.doe@example.com
Nội dung thông báo: "Đơn đặt hàng 12345 đã được xác nhận thành công và sẽ được giao đến bạn vào ngày 25/02/2023. Cảm ơn bạn đã mua hàng của chúng tôi!"</t>
  </si>
  <si>
    <t>"Thông báo đã được gửi thành công đến khách hàng John Doe".</t>
  </si>
  <si>
    <t>"Gửi thông báo đến khách hàng thành công"</t>
  </si>
  <si>
    <t>DDH_10</t>
  </si>
  <si>
    <t>Cập nhập trạng thái thanh toán thành công</t>
  </si>
  <si>
    <t xml:space="preserve">1.	Đăng nhập vào hệ thống quản lý đơn đặt hàng. 
2.	Tìm kiếm đơn đặt hàng cần cập nhật trạng thái thanh toán. 
3.	Chọn đơn đặt hàng cần cập nhật trạng thái thanh toán.
4.	 Kiểm tra trạng thái thanh toán của đơn đặt hàng. 
5.	Chọn "Cập nhật trạng thái thanh toán". 
6.	Nhập thông tin thanh toán, bao gồm phương thức thanh toán, số tiền thanh toán và ngày thanh toán.
7.	 Xác nhận thông tin cập nhật. Lưu thông tin thay đổi.
</t>
  </si>
  <si>
    <t>Mã đơn đặt hàng: 12345
Trạng thái thanh toán: Chưa thanh toán
Phương thức thanh toán: Thẻ tín dụng
Số tiền thanh toán: 100 USD
Ngày thanh toán: 19/02/2023</t>
  </si>
  <si>
    <t>Sau khi cập nhật trạng thái thanh toán của đơn đặt hàng, trạng thái thanh toán của đơn đặt hàng được cập nhật thành "Đã thanh toán".</t>
  </si>
  <si>
    <t>Thành công</t>
  </si>
  <si>
    <t>DDH_11</t>
  </si>
  <si>
    <t>Gửi biên bản giao hàng thành công</t>
  </si>
  <si>
    <t xml:space="preserve">1.	Đăng nhập vào hệ thống quản lý đơn đặt hàng.
2.	 Tìm kiếm đơn đặt hàng cần gửi biên bản giao hàng. 
3.	Chọn đơn đặt hàng cần gửi biên bản giao hàng. 
4.	Kiểm tra trạng thái của đơn đặt hàng, đảm bảo rằng đơn hàng đã được xử lý và sẵn sàng để giao hàng. 
5.	Chọn "Gửi biên bản giao hàng". 
6.	Nhập thông tin về người nhận hàng, bao gồm tên, địa chỉ, số điện thoại và email. 
7.	Nhập thông tin về sản phẩm, bao gồm tên sản phẩm, số lượng, giá tiền, tổng giá tiền.
8.	 Kiểm tra lại thông tin đã nhập, xác nhận thông tin gửi biên bản giao hàng. 
9.	Lưu thông tin gửi biên bản giao hàng.
</t>
  </si>
  <si>
    <t>Mã đơn đặt hàng: 12345
Tên người nhận hàng: Nguyen Van A
Địa chỉ: So 1, Duong X, Phuong Y, Quan Z, Thanh pho Ho Chi Minh
Số điện thoại: 0123456789
Email: nguyenvana@gmail.com
Tên sản phẩm: Bơ Mexico
Số lượng: 10
Giá tiền: 1 USD
Tổng giá tiền: 10 USD</t>
  </si>
  <si>
    <t>Thông báo gửi biên bản giao hàng thành công.
Biên bản giao hàng được lưu thành công trong hệ thống.</t>
  </si>
  <si>
    <t>Thông báo gửi biên bản giao hàng thành công xuất hiện trên màn hình.
Biên bản giao hàng được lưu thành công trong hệ thống.</t>
  </si>
  <si>
    <t>ID</t>
  </si>
  <si>
    <t>Test Case Description</t>
  </si>
  <si>
    <t>Test Case Steps</t>
  </si>
  <si>
    <t>Test Data</t>
  </si>
  <si>
    <t>Expected Output</t>
  </si>
  <si>
    <t>Actual Result</t>
  </si>
  <si>
    <t>Test Date</t>
  </si>
  <si>
    <t>Note</t>
  </si>
  <si>
    <t>UC01_01</t>
  </si>
  <si>
    <t>Truy cập trang chủ thành công</t>
  </si>
  <si>
    <t>Truy cập trang chủ từ URL</t>
  </si>
  <si>
    <t>Mở trình duyệt -&gt; Nhập URL website</t>
  </si>
  <si>
    <t>URL hợp lệ</t>
  </si>
  <si>
    <t>Hiển thị banner, danh mục, sản phẩm nổi bật, menu đầy đủ</t>
  </si>
  <si>
    <t>Hiển thị đầy đủ dữ liệu</t>
  </si>
  <si>
    <t>UC01_02</t>
  </si>
  <si>
    <t>Click logo để quay về trang chủ</t>
  </si>
  <si>
    <t>Click logo trên header</t>
  </si>
  <si>
    <t>Điều hướng về trang chủ</t>
  </si>
  <si>
    <t>Điều hướng thành công</t>
  </si>
  <si>
    <t>UC01_03</t>
  </si>
  <si>
    <t>Load đầy đủ dữ liệu trang chủ</t>
  </si>
  <si>
    <t>Mở trang chủ</t>
  </si>
  <si>
    <t>Hiển thị đầy đủ banner, sản phẩm</t>
  </si>
  <si>
    <t>Dữ liệu load đầy đủ</t>
  </si>
  <si>
    <t>UC01_04</t>
  </si>
  <si>
    <t>Truy câp trang chủ không thành công</t>
  </si>
  <si>
    <t>Mất kết nối internet khi load trang</t>
  </si>
  <si>
    <t>Ngắt mạng -&gt; Reload trang</t>
  </si>
  <si>
    <t>Không có mạng</t>
  </si>
  <si>
    <t>Hiển thị lỗi load trang</t>
  </si>
  <si>
    <t>Hiển thị lỗi kết nối</t>
  </si>
  <si>
    <t>Network handling</t>
  </si>
  <si>
    <t>UC01_05</t>
  </si>
  <si>
    <t>Kiểm tra UX loading</t>
  </si>
  <si>
    <t>Giảm tốc độ mạng -&gt; Reload</t>
  </si>
  <si>
    <t>3G yếu</t>
  </si>
  <si>
    <t>Hiển thị loading (spinner/skeleton)</t>
  </si>
  <si>
    <t>Hiển thị loading trước khi load xong</t>
  </si>
  <si>
    <t>UX</t>
  </si>
  <si>
    <t>UC02_01</t>
  </si>
  <si>
    <t>Tìm kiếm sản phẩm thành công</t>
  </si>
  <si>
    <t>Tìm từ khóa tồn tại</t>
  </si>
  <si>
    <t>Mở trang chủ -&gt; Nhập từ khóa -&gt; Enter</t>
  </si>
  <si>
    <t>“Cà chua Beef”</t>
  </si>
  <si>
    <t>Hiển thị danh sách sản phẩm</t>
  </si>
  <si>
    <t>Hiển thị danh sách + tồn kho</t>
  </si>
  <si>
    <t>UC02_05</t>
  </si>
  <si>
    <t>Case insensitive</t>
  </si>
  <si>
    <t>Nhập “CA CHUA”</t>
  </si>
  <si>
    <t>CA CHUA</t>
  </si>
  <si>
    <t>Hiển thị kết quả đúng</t>
  </si>
  <si>
    <t>Hiển thị đúng</t>
  </si>
  <si>
    <t>UC02_02</t>
  </si>
  <si>
    <t>Tìm kiếm sản phẩm không thành công</t>
  </si>
  <si>
    <t>Tìm từ khóa chứa ký tự đặc biệt</t>
  </si>
  <si>
    <t>Nhập keyword chứa ký tự đặc biệt</t>
  </si>
  <si>
    <t>“C@ Chu@”</t>
  </si>
  <si>
    <t>Thông báo lỗi nhập ký tự đặc biệt</t>
  </si>
  <si>
    <t>Hiển thị lỗi đúng</t>
  </si>
  <si>
    <t>Validation</t>
  </si>
  <si>
    <t>UC02_03</t>
  </si>
  <si>
    <t>Tìm từ khóa không tồn tại</t>
  </si>
  <si>
    <t>Nhập keyword không tồn tại</t>
  </si>
  <si>
    <t>“Dưa lưới Taki”</t>
  </si>
  <si>
    <t>Hiển thị “Không có sản phẩm”</t>
  </si>
  <si>
    <t>Hiển thị thông báo không có kết quả</t>
  </si>
  <si>
    <t>UC02_04</t>
  </si>
  <si>
    <t>Bỏ trống từ khóa tìm kiếm</t>
  </si>
  <si>
    <t>Không nhập -&gt; Nhấn search</t>
  </si>
  <si>
    <t>&lt;Trống&gt;</t>
  </si>
  <si>
    <t>Hiển thị lỗi bắt buộc</t>
  </si>
  <si>
    <t>Hiển thị lỗi bỏ trống</t>
  </si>
  <si>
    <t>UC03_01</t>
  </si>
  <si>
    <t>Xem sản phẩm thành công</t>
  </si>
  <si>
    <t>Xem chi tiết sản phẩm</t>
  </si>
  <si>
    <t>Trang chủ -&gt; Click sản phẩm</t>
  </si>
  <si>
    <t>Hiển thị đầy đủ thông tin sản phẩm</t>
  </si>
  <si>
    <t>Hiển thị đầy đủ thông tin</t>
  </si>
  <si>
    <t>UC03_03</t>
  </si>
  <si>
    <t>Kiểm tra media</t>
  </si>
  <si>
    <t>Mở trang chi tiết</t>
  </si>
  <si>
    <t>Hiển thị hình ảnh sản phẩm</t>
  </si>
  <si>
    <t>Hình ảnh load đúng</t>
  </si>
  <si>
    <t>UI</t>
  </si>
  <si>
    <t>UC03_02</t>
  </si>
  <si>
    <t>Xem sản phẩm thất bại</t>
  </si>
  <si>
    <t>Sản phẩm lỗi hoặc không tồn tại</t>
  </si>
  <si>
    <t>Click sản phẩm lỗi</t>
  </si>
  <si>
    <t>ID invalid</t>
  </si>
  <si>
    <t>Hiển thị lỗi hoặc 404</t>
  </si>
  <si>
    <t>Hiển thị lỗi sản phẩm</t>
  </si>
  <si>
    <t>Error handling</t>
  </si>
  <si>
    <t>UC03_04</t>
  </si>
  <si>
    <t>Kiểm tra tồn kho</t>
  </si>
  <si>
    <t>Mở sản phẩm hết hàng</t>
  </si>
  <si>
    <t>Stock = 0</t>
  </si>
  <si>
    <t>Hiển thị “Hết hàng”</t>
  </si>
  <si>
    <t>Hiển thị đúng trạng thái</t>
  </si>
  <si>
    <t>Business rule</t>
  </si>
  <si>
    <t>UC04_01</t>
  </si>
  <si>
    <t>Xem nguồn gốc sản phẩm thành công</t>
  </si>
  <si>
    <t>Xem timeline sản phẩm</t>
  </si>
  <si>
    <t>Trang chủ -&gt; Click nguồn gốc</t>
  </si>
  <si>
    <t>Hiển thị timeline sản phẩm</t>
  </si>
  <si>
    <t>Hiển thị timeline</t>
  </si>
  <si>
    <t>UC04_02</t>
  </si>
  <si>
    <t>Xem nguồn gốc thất bại</t>
  </si>
  <si>
    <t>Không có dữ liệu</t>
  </si>
  <si>
    <t>Click nguồn gốc</t>
  </si>
  <si>
    <t>Không có data</t>
  </si>
  <si>
    <t>Hiển thị lỗi</t>
  </si>
  <si>
    <t>Hiển thị lỗi timeline</t>
  </si>
  <si>
    <t/>
  </si>
  <si>
    <t>PROFILE_01</t>
  </si>
  <si>
    <t>Cập nhật hồ sơ cá nhân thành công</t>
  </si>
  <si>
    <t>Nhập đầy đủ thông tin hợp lệ</t>
  </si>
  <si>
    <t>1. Đăng nhập tài khoản khách hàng; 
2. Vào "Tài khoản của tôi" → Hồ sơ; 
3. Nhấn Chỉnh sửa; 
4. Nhập đầy đủ thông tin; 
5. Nhấn Lưu</t>
  </si>
  <si>
    <t>Họ tên: Nguyễn Văn Thảo; 
Ngày sinh: 15/05/1998; 
Giới tính: Nam; 
Email: thao@example.com</t>
  </si>
  <si>
    <t>Lưu thành công, hiển thị thông báo "Cập nhật hồ sơ thành công", dữ liệu cập nhật trong DB</t>
  </si>
  <si>
    <t>Như Expected Output</t>
  </si>
  <si>
    <t>PASS</t>
  </si>
  <si>
    <t>PROFILE_02</t>
  </si>
  <si>
    <t>Đổi avatar hợp lệ</t>
  </si>
  <si>
    <t>1. Vào Hồ sơ; 
2. Nhấn thay đổi avatar; 
3. Chọn file ảnh</t>
  </si>
  <si>
    <t>File: .jpg hoặc .png, kích thước &lt; 5MB</t>
  </si>
  <si>
    <t>Ảnh upload thành công, hiển thị avatar mới</t>
  </si>
  <si>
    <t>PROFILE_03</t>
  </si>
  <si>
    <t>Cập nhật giới tính lần đầu</t>
  </si>
  <si>
    <t>Nhập giới tính Nam/Nữ</t>
  </si>
  <si>
    <t>Giới tính: Nữ</t>
  </si>
  <si>
    <t>Lưu thành công</t>
  </si>
  <si>
    <t>PROFILE_04</t>
  </si>
  <si>
    <t>Nhập họ tên ở độ dài tối đa cho phép</t>
  </si>
  <si>
    <t>Nhập họ tên 255 ký tự</t>
  </si>
  <si>
    <t>Họ tên = 255 ký tự</t>
  </si>
  <si>
    <t>PROFILE_05</t>
  </si>
  <si>
    <t>Email đúng format</t>
  </si>
  <si>
    <t>Nhập email hợp lệ</t>
  </si>
  <si>
    <t>Email: test.user123@gmail.com</t>
  </si>
  <si>
    <t>PROFILE_06</t>
  </si>
  <si>
    <t>Không thay đổi gì, bấm lưu</t>
  </si>
  <si>
    <t>Nhấn Chỉnh sửa → Không thay đổi gì → Nhấn Lưu</t>
  </si>
  <si>
    <t>Dữ liệu cũ</t>
  </si>
  <si>
    <t>Hiển thị "Không có thay đổi" hoặc không gọi API update</t>
  </si>
  <si>
    <t>PROFILE_07</t>
  </si>
  <si>
    <t>Nút Lưu khi chưa nhập gì</t>
  </si>
  <si>
    <t>Mở form chỉnh sửa, để trống các trường bắt buộc</t>
  </si>
  <si>
    <t>Nút Lưu disable (màu xám), không click được</t>
  </si>
  <si>
    <t>PROFILE_08</t>
  </si>
  <si>
    <t>Hiển thị thông báo sau khi lưu</t>
  </si>
  <si>
    <t>Sau khi lưu thành công</t>
  </si>
  <si>
    <t>Hiển thị "Cập nhật thành công" (toast xanh)</t>
  </si>
  <si>
    <t>PROFILE_09</t>
  </si>
  <si>
    <t>Disable giới tính sau lần đầu</t>
  </si>
  <si>
    <t>Sau khi đã lưu giới tính → vào chỉnh sửa</t>
  </si>
  <si>
    <t>Field Giới tính bị disable, không cho thay đổi</t>
  </si>
  <si>
    <t>PROFILE_10</t>
  </si>
  <si>
    <t>Cập nhất hồ sơ thất bại</t>
  </si>
  <si>
    <t>Bỏ trống họ tên</t>
  </si>
  <si>
    <t>Xóa họ tên → Nhấn Lưu</t>
  </si>
  <si>
    <t>Họ tên rỗng</t>
  </si>
  <si>
    <t>Lỗi đỏ dưới field: "Họ tên không được để trống", không submit</t>
  </si>
  <si>
    <t>PROFILE_11</t>
  </si>
  <si>
    <t>Email sai định dạng</t>
  </si>
  <si>
    <t>Nhập email sai</t>
  </si>
  <si>
    <r>
      <rPr>
        <rFont val="Calibri"/>
        <color theme="10"/>
        <sz val="11.0"/>
      </rPr>
      <t>Email: </t>
    </r>
    <r>
      <rPr>
        <rFont val="Calibri"/>
        <color theme="10"/>
        <sz val="11.0"/>
        <u/>
      </rPr>
      <t>thaogmail.com</t>
    </r>
  </si>
  <si>
    <t>Lỗi: "Email không hợp lệ"</t>
  </si>
  <si>
    <t>PROFILE_12</t>
  </si>
  <si>
    <t>Upload ảnh sai định dạng</t>
  </si>
  <si>
    <t>Chọn file .pdf hoặc .exe</t>
  </si>
  <si>
    <t>File không phải jpg/png</t>
  </si>
  <si>
    <t>Thông báo "Chỉ chấp nhận file jpg, png", không upload</t>
  </si>
  <si>
    <t>PROFILE_13</t>
  </si>
  <si>
    <t>Ngày sinh không hợp lệ</t>
  </si>
  <si>
    <t>Nhập ngày sinh trong tương lai</t>
  </si>
  <si>
    <t>Lỗi: "Ngày sinh phải nhỏ hơn ngày hiện tại"</t>
  </si>
  <si>
    <t>PROFILE_14</t>
  </si>
  <si>
    <t>Đổi giới tính lần 2</t>
  </si>
  <si>
    <t>Sau khi đã lưu giới tính → vào sửa → đổi giới tính</t>
  </si>
  <si>
    <t>Giới tính khác lần đầu</t>
  </si>
  <si>
    <t>"Không thể thay đổi giới tính"</t>
  </si>
  <si>
    <t>PROFILE_15</t>
  </si>
  <si>
    <t>Họ tên quá dài (&gt;255 ký tự)</t>
  </si>
  <si>
    <t>Nhập 256 ký tự</t>
  </si>
  <si>
    <t>Họ tên 256 ký tự</t>
  </si>
  <si>
    <t>Lỗi: "Vượt quá độ dài cho phép"</t>
  </si>
  <si>
    <t>ADD_01</t>
  </si>
  <si>
    <t>Thêm địa chỉ thành công</t>
  </si>
  <si>
    <t>1. Vào Sổ địa chỉ; 
2. Nhấn Thêm địa chỉ mới; 
3. Nhập đầy đủ → Lưu</t>
  </si>
  <si>
    <t>Tên: Thảo; SĐT: 0987654321; 
Địa chỉ: 123 Nguyễn Trãi, Hà Nội</t>
  </si>
  <si>
    <t>Thêm thành công, hiển thị trong danh sách</t>
  </si>
  <si>
    <t>ADD_02</t>
  </si>
  <si>
    <t>SĐT đúng 10 số</t>
  </si>
  <si>
    <t>Nhập SĐT đúng 10 số</t>
  </si>
  <si>
    <t>SĐT: 0987654321</t>
  </si>
  <si>
    <t>Hợp lệ, thêm thành công</t>
  </si>
  <si>
    <t>ADD_03</t>
  </si>
  <si>
    <t>Thêm nhiều địa chỉ</t>
  </si>
  <si>
    <t>Thêm 3-4 địa chỉ</t>
  </si>
  <si>
    <t>Hiển thị đầy đủ danh sách</t>
  </si>
  <si>
    <t>ADD_04</t>
  </si>
  <si>
    <t>Thêm địa chỉ đầu tiên</t>
  </si>
  <si>
    <t>Thêm địa chỉ khi chưa có địa chỉ nào</t>
  </si>
  <si>
    <t>Tự động set là "Mặc định"</t>
  </si>
  <si>
    <t>ADD_05</t>
  </si>
  <si>
    <t>Hiển thị form thêm địa chỉ</t>
  </si>
  <si>
    <t>Mở form thêm địa chỉ</t>
  </si>
  <si>
    <t>Hiển thị đầy đủ trường (Tên, SĐT, Địa chỉ)</t>
  </si>
  <si>
    <t>ADD_06</t>
  </si>
  <si>
    <t>Thêm địa chỉ thất bại</t>
  </si>
  <si>
    <t>Bỏ trống tên người nhận</t>
  </si>
  <si>
    <t>Để trống tên người nhận</t>
  </si>
  <si>
    <t>Tên rỗng</t>
  </si>
  <si>
    <t>Lỗi: "Tên người nhận không được để trống", không submit</t>
  </si>
  <si>
    <t>ADD_07</t>
  </si>
  <si>
    <t>SĐT ít số</t>
  </si>
  <si>
    <t>Nhập 9 số</t>
  </si>
  <si>
    <t>SĐT: 98765432</t>
  </si>
  <si>
    <t>Lỗi: "SĐT phải đủ 10 số", không submit</t>
  </si>
  <si>
    <t>ADD_08</t>
  </si>
  <si>
    <t>SĐT quá dài</t>
  </si>
  <si>
    <t>Nhập 11 số</t>
  </si>
  <si>
    <t>SĐT: 09876543211</t>
  </si>
  <si>
    <t>Lỗi: "SĐT không hợp lệ"</t>
  </si>
  <si>
    <t>ADD_09</t>
  </si>
  <si>
    <t>SĐT chứa chữ</t>
  </si>
  <si>
    <t>Nhập SĐT có chữ</t>
  </si>
  <si>
    <t>SĐT: 09876543ab</t>
  </si>
  <si>
    <t>ADD_10</t>
  </si>
  <si>
    <t>Bỏ trống địa chỉ</t>
  </si>
  <si>
    <t>Để trống địa chỉ chi tiết</t>
  </si>
  <si>
    <t>Địa chỉ rỗng</t>
  </si>
  <si>
    <t>Lỗi: "Địa chỉ không được để trống", không submit</t>
  </si>
  <si>
    <t>DEL_ACC_01</t>
  </si>
  <si>
    <t>Xóa tài khoản thành công</t>
  </si>
  <si>
    <t>Bấm "Xóa tài khoản"</t>
  </si>
  <si>
    <t>1. Đăng nhập tài khoản; 
2. Vào Hồ sơ cá nhân; 
3. Cuộn xuống cuối → Nhấn "Xóa tài khoản"</t>
  </si>
  <si>
    <t>Hiển thị popup xác nhận: "Xác nhận xóa tài khoản?"</t>
  </si>
  <si>
    <t>DEL_ACC_02</t>
  </si>
  <si>
    <t>Bấm xác nhận xóa chọn có</t>
  </si>
  <si>
    <t>1. Mở popup xóa tài khoản; 
2. Nhấn Xác nhận</t>
  </si>
  <si>
    <t>Xóa thành công, logout, redirect về trang login</t>
  </si>
  <si>
    <t>DEL_ACC_03</t>
  </si>
  <si>
    <t>Hủy xóa tài khoản</t>
  </si>
  <si>
    <t>Bấm "Không"</t>
  </si>
  <si>
    <t>1. Mở popup xóa tài khoản; 
2. Nhấn Hủy</t>
  </si>
  <si>
    <t>Đóng popup, không xóa tài khoản</t>
  </si>
  <si>
    <t>DEL_ACC_04</t>
  </si>
  <si>
    <t>Mất mạng khi xác nhận</t>
  </si>
  <si>
    <t>1. Mở popup xóa tài khoản; 
2. Ngắt kết nối mạng; 
3. Nhấn Xác nhận</t>
  </si>
  <si>
    <t>Hiển thị "Xóa tài khoản thất bại", không xóa</t>
  </si>
  <si>
    <t>INFO_01</t>
  </si>
  <si>
    <t>Cập nhật thông tin cá nhân thành công</t>
  </si>
  <si>
    <t>1. Đăng nhập; 
2. Vào Thông tin cá nhân; 
3. Nhập đầy đủ; 
4. Lưu</t>
  </si>
  <si>
    <t>Họ tên, CCCD, địa chỉ hợp lệ</t>
  </si>
  <si>
    <t>Lưu thành công, dữ liệu cập nhật DB</t>
  </si>
  <si>
    <t>INFO_02</t>
  </si>
  <si>
    <t>CCCD đúng 12 số</t>
  </si>
  <si>
    <t>Nhập CCCD đúng 12 số</t>
  </si>
  <si>
    <t>CCCD: 012345678912</t>
  </si>
  <si>
    <t>Cho phép submit</t>
  </si>
  <si>
    <t>INFO_03</t>
  </si>
  <si>
    <t>Hiển thị dữ liệu sau khi lưu</t>
  </si>
  <si>
    <t>Lưu thông tin → F5 refresh</t>
  </si>
  <si>
    <t>Load đúng thông tin đã lưu</t>
  </si>
  <si>
    <t>INFO_04</t>
  </si>
  <si>
    <t>Cập nhât thông tin sai</t>
  </si>
  <si>
    <t>Xóa họ tên → Lưu</t>
  </si>
  <si>
    <t>Lỗi: "Họ tên không được để trống"</t>
  </si>
  <si>
    <t>INFO_05</t>
  </si>
  <si>
    <t>CCCD &lt; hoặc &gt; 12 số</t>
  </si>
  <si>
    <t>Nhập CCCD 11 số hoặc 13 số</t>
  </si>
  <si>
    <t>CCCD: 01234567891</t>
  </si>
  <si>
    <t>Lỗi: "CCCD không hợp lệ"</t>
  </si>
  <si>
    <t>INFO_06</t>
  </si>
  <si>
    <t>CCCD chứa chữ</t>
  </si>
  <si>
    <t>Nhập CCCD có ký tự chữ</t>
  </si>
  <si>
    <t>CCCD: 0123456789ab</t>
  </si>
  <si>
    <t>INFO_07</t>
  </si>
  <si>
    <t>Để trống địa chỉ</t>
  </si>
  <si>
    <t>Lỗi: "Địa chỉ không được để trống"</t>
  </si>
  <si>
    <t>INFO_08</t>
  </si>
  <si>
    <t>Thông tin xác nhận không khớp</t>
  </si>
  <si>
    <t>Nhập thông tin xác nhận khác với thông tin đã nhập</t>
  </si>
  <si>
    <t>Xác nhận sai</t>
  </si>
  <si>
    <t>Lỗi: "Thông tin xác nhận không trùng khớp"</t>
  </si>
  <si>
    <t>INFO_09</t>
  </si>
  <si>
    <t>Nhập địa chỉ quá dài</t>
  </si>
  <si>
    <t>Nhập địa chỉ &gt; 255 ký tự</t>
  </si>
  <si>
    <t>Địa chỉ 256 ký tự</t>
  </si>
  <si>
    <t>Lỗi: "Địa chỉ vượt quá độ dài cho phép"</t>
  </si>
  <si>
    <t>Trạng thái đặt hàng</t>
  </si>
  <si>
    <t>DDH_12</t>
  </si>
  <si>
    <t xml:space="preserve">"Chờ giao hàng": Đơn hàng đang trong quá trình vận chuyển đến địa chỉ giao hàng </t>
  </si>
  <si>
    <t xml:space="preserve">1.	Tạo đơn hàng với các thông tin cần thiết bao gồm: mã đơn hàng, địa chỉ giao hàng, trạng thái đơn hàng là "Chờ giao hàng".
2.	Lưu thông tin đơn hàng
3.	. Kiểm tra trạng thái của đơn hàng và địa chỉ giao hàng có đúng không..
</t>
  </si>
  <si>
    <t>Mã đơn hàng: DH002
Địa chỉ giao hàng: 456 Đường XYZ, Quận 2, TP. HCM
Trạng thái đơn hàng: "Chờ giao hàng"</t>
  </si>
  <si>
    <t>Đơn hàng có mã DH002 đang trong quá trình vận chuyển đến địa chỉ giao hàng 456 Đường XYZ, Quận 2, TP. HCM.</t>
  </si>
  <si>
    <t>DDH_13</t>
  </si>
  <si>
    <t xml:space="preserve">"Hoàn thành": Đơn hàng đã được giao đến địa chỉ giao hàng và được xác nhận đã nhận hàng bởi khách hàng </t>
  </si>
  <si>
    <t xml:space="preserve">1.	Tạo đơn hàng với các thông tin cần thiết bao gồm: mã đơn hàng, địa chỉ giao hàng, trạng thái đơn hàng là "Hoàn thành".
2.	 Lưu thông tin đơn hàng.
3.	 Kiểm tra trạng thái của đơn hàng và địa chỉ giao hàng có đúng không. 
4.	Xác nhận đơn hàng đã nhận hàng bởi khách hàng..
</t>
  </si>
  <si>
    <t>Mã đơn hàng: DH003
Địa chỉ giao hàng: 789 Đường ABC, Quận 1, TP. HCM
Trạng thái đơn hàng: "Hoàn thành"</t>
  </si>
  <si>
    <t>Đơn hàng có mã DH003 đã được giao đến địa chỉ giao hàng 789 Đường ABC, Quận 1, TP. HCM và đã được xác nhận nhận hàng bởi khách hàng.</t>
  </si>
  <si>
    <t>DDH_14</t>
  </si>
  <si>
    <t xml:space="preserve">"Đã hoàn thành": Đơn hàng đã hoàn thành và được thanh toán đầy đủ bởi khách hàng </t>
  </si>
  <si>
    <t xml:space="preserve">1.	Tạo đơn hàng và nhập thông tin khách hàng và sản phẩm vào hệ thống. 
2.	Cập nhật trạng thái của đơn hàng từ "Chờ giao hàng" đến "Hoàn thành".
3.	 Thực hiện thanh toán cho đơn hàng đầy đủ.
4.	 Kiểm tra trạng thái của đơn hàng, phải là "Đã hoàn thành". 
5.	Kiểm tra hệ thống đã cập nhật số lượng sản phẩm trong kho và thông báo cho nhà cung cấp (nếu cần thiết).
</t>
  </si>
  <si>
    <t>Thông tin khách hàng:
Họ tên: Nguyễn Văn A
Địa chỉ: Số 10, đường ABC, Quận XYZ, TP.HCM
Số điện thoại: 0901234567
Email: van.a.nguyen@gmail.com
Sản phẩm:
Tên: Bơ Mexico
Mã sản phẩm: AK001
Số lượng: 1
Giá: 1,000,000 VND
Phương thức thanh toán: Thanh toán bằng thẻ tín dụng.
Số tiền thanh toán: 1,000,000 VND.</t>
  </si>
  <si>
    <t xml:space="preserve"> Đơn hàng đã hoàn thành và được thanh toán đầy đủ bởi khách hàng.</t>
  </si>
  <si>
    <t>DDH_15</t>
  </si>
  <si>
    <t xml:space="preserve">"Đã hủy": Đơn hàng đã bị hủy trước khi được xác nhận </t>
  </si>
  <si>
    <t xml:space="preserve">1.	Tạo đơn hàng mới trong hệ thống.
2.	 Hủy đơn hàng trước khi được xác nhận
3.	 Xác nhận trạng thái đơn hàng
</t>
  </si>
  <si>
    <t>Thông tin đơn hàng bao gồm: số đơn hàng, địa chỉ giao hàng, danh sách sản phẩm, số lượng sản phẩm, giá tiền sản phẩm, tổng giá trị đơn hàng
Thời gian hủy đơn hàng</t>
  </si>
  <si>
    <t>Trạng thái đơn hàng được cập nhật là "Đã hủy"
Không có thông báo đến nhà sản xuất và nhà cung cấp
Khách hàng được thông báo rằng đơn hàng đã bị hủy
Tổng số đơn hàng trong hệ thống không tăng lên</t>
  </si>
  <si>
    <t>Để kiểm tra kết quả thực tế, cần thực hiện test case trên hệ thống thực tế hoặc trên một bản sao của hệ thống được tái tạo để đảm bảo kết quả thực tế chính xác.</t>
  </si>
  <si>
    <t>DDH_16</t>
  </si>
  <si>
    <t>"Trả hàng/hoàn tiền": kiểm tra tính năng cho phép khách hàng yêu cầu trả hàng/hoàn tiền trên trang web</t>
  </si>
  <si>
    <t>"1. Đăng nhập vào trang web với tư cách khách hàng.
2. Tìm và chọn sản phẩm mà khách hàng muốn trả hàng/hoàn tiền.
3. Truy cập trang chi tiết sản phẩm và tìm thông tin về chính sách trả hàng/hoàn tiền của trang web.
4. Xem xét các điều kiện và quy định của chính sách trả hàng/hoàn tiền, để biết sản phẩm của mình có đủ điều kiện để trả hàng/hoàn tiền không."
"5. Nếu sản phẩm của khách hàng đủ điều kiện trả hàng/hoàn tiền, khách hàng có thể tiếp tục yêu cầu trả hàng/hoàn tiền bằng cách chọn một trong hai phương pháp sau:
Liên hệ với trung tâm chăm sóc khách hàng của trang web để yêu cầu trả hàng/hoàn tiền.
Sử dụng tính năng trả hàng/hoàn tiền trực tuyến của trang web (nếu có). Tính năng này cho phép khách hàng yêu cầu trả hàng/hoàn tiền trực tiếp trên trang web."
"6. Hoàn thành các bước yêu cầu trả hàng/hoàn tiền và kiểm tra kết quả. Các bước kiểm tra có thể bao gồm:
7Kiểm tra trạng thái của yêu cầu trả hàng/hoàn tiền trong lịch sử đơn hàng của khách hàng trên trang web.
8Kiểm tra email hoặc tin nhắn thông báo về trạng thái của yêu cầu trả hàng/hoàn tiền.
9Kiểm tra số tiền hoàn lại (nếu có).
10Kiểm tra trạng thái của sản phẩm sau khi trả hàng/hoàn tiền."</t>
  </si>
  <si>
    <t xml:space="preserve"> Sản phẩm A</t>
  </si>
  <si>
    <t>Sản phẩm A có chính sách trả hàng/hoàn tiền trong vòng 30 ngày kể từ ngày mua hàng. Khách hàng có thể yêu cầu trả hàng/hoàn tiền nếu sản phẩm còn mới và chưa sử dụng.</t>
  </si>
  <si>
    <t>Khách hàng yêu cầu trả hàng/hoàn tiền cho sản phẩm A trên trang web, và yêu cầu được chấp nhận.</t>
  </si>
  <si>
    <t>Facebook_Login</t>
  </si>
  <si>
    <t>Thêm sản phẩm</t>
  </si>
  <si>
    <t>SP_01</t>
  </si>
  <si>
    <t>Thêm sản phẩm thành công</t>
  </si>
  <si>
    <t>Thêm thành công sản phẩm với nhập đúng và đủ dữ liệu</t>
  </si>
  <si>
    <t xml:space="preserve">1. Mở ứng dụng và truy cập vào mục sản phẩm
2. Chọn vào mục thêm sản phẩm
3. Nhập đầy đủ và chính xác các thông tin của sản phẩm
4. Nhấn nút thêm sản phẩm
5. Hiển thị thêm thành công
</t>
  </si>
  <si>
    <t>Tên SP: Cà chua Beef
Mã SP: SP001
Giá: 60,000đ
Danh mục: Củ quả
Đơn vị: kg
Ảnh: cat chua.jpg
Trạng thái: Hoạt động</t>
  </si>
  <si>
    <t>Dữ liệu sản phẩm được thêm vào cơ sở dữ liệu và load lên các trang</t>
  </si>
  <si>
    <t>Đăng nhập với quyền admin, nhập đầy đủ các trường dữ liệu, giao diện dễ thao tác</t>
  </si>
  <si>
    <t>SP_02</t>
  </si>
  <si>
    <t xml:space="preserve">Thêm sản phẩm thất bại </t>
  </si>
  <si>
    <t>Nhập dữ liệu giá sai định dạng (chữ thay vì số)</t>
  </si>
  <si>
    <t>1. Mở ứng dụng và truy cập vào mục sản phẩm
2. Chọn vào mục thêm sản phẩm
3. Nhập dữ liệu giá sai định dạng
4. Nhấn nút thêm sản phẩm
5. Hiển thị nhập sai dữ liệu, mời nhập lại</t>
  </si>
  <si>
    <t>Tên SP: Cà chua Beef
Mã SP: SP002
Giá: abcxyzđ
Danh mục: Củ quả
Ảnh: cat chua.jpg
Trạng thái: Hoạt động</t>
  </si>
  <si>
    <t>Hiển thị thông báo lỗi và dữ liệu lỗi không thêm vào CSDL</t>
  </si>
  <si>
    <t>Không có</t>
  </si>
  <si>
    <t>SP_03</t>
  </si>
  <si>
    <t>Nhập mã sản phẩm (serial) đã tồn tại trong hệ thống</t>
  </si>
  <si>
    <t>1. Mở ứng dụng và truy cập vào mục sản phẩm
2. Chọn vào mục thêm sản phẩm
3. Nhập mã SP đã tồn tại trong hệ thống
4. Nhấn nút thêm sản phẩm
5. Hiển thị dữ liệu mã SP trùng lặp, mời nhập lại</t>
  </si>
  <si>
    <t>Tên SP: Cà chua Beef
Mã SP: SP001 (đã tồn tại)
Giá: 60,000đ
Danh mục: Củ quả
Ảnh: cat chua.jpg
Trạng thái: Hoạt động</t>
  </si>
  <si>
    <t>Có sản phẩm SP_01 trong DB</t>
  </si>
  <si>
    <t>SP_04</t>
  </si>
  <si>
    <t>Kích thước hình ảnh của sản phẩm vượt quá giới hạn cho phép</t>
  </si>
  <si>
    <t>1. Mở ứng dụng và truy cập vào mục sản phẩm
2. Chọn mục thêm sản phẩm
3. Nhập ảnh có kích thước &gt; 5MB
4. Nhấn nút thêm sản phẩm
5. Hiển thị ảnh vượt quá kích cỡ quy định, mời nhập lại</t>
  </si>
  <si>
    <t>Tên SP: Cà chua Beef
Mã SP: SP003
Giá: 60,000đ
Danh mục: Củ quả
Ảnh: image_10MB.jpg (kích thước &gt; 5MB)
Trạng thái: Hoạt động</t>
  </si>
  <si>
    <t>SP_05</t>
  </si>
  <si>
    <t>Các trường dữ liệu bắt buộc để trống</t>
  </si>
  <si>
    <t>1. Mở ứng dụng và truy cập vào mục sản phẩm
2. Chọn mục thêm sản phẩm
3. Để trống tất cả trường dữ liệu bắt buộc
4. Nhấn nút thêm sản phẩm
5. Hiển thị mời nhập thông tin sản phẩm</t>
  </si>
  <si>
    <t>Không nhập dữ liệu (để trống các trường bắt buộc)</t>
  </si>
  <si>
    <t>Hiển thị thông báo lỗi và quay lại trang quản lý sản phẩm</t>
  </si>
  <si>
    <t>SP_06</t>
  </si>
  <si>
    <t>Nhập tên sản phẩm vượt quá số ký tự cho phép</t>
  </si>
  <si>
    <t>1. Mở ứng dụng và truy cập vào mục sản phẩm
2. Chọn mục thêm sản phẩm
3. Nhập tên SP &gt; 255 ký tự
4. Nhấn nút thêm sản phẩm
5. Hiển thị thông báo lỗi</t>
  </si>
  <si>
    <t>Tên SP: 300 ký tự
Mã SP: SP004
Giá: 60,000đ
Danh mục: Củ quả</t>
  </si>
  <si>
    <t>Hiển thị thông báo lỗi "Tên sản phẩm không được vượt quá 255 ký tự"</t>
  </si>
  <si>
    <t>SP_07</t>
  </si>
  <si>
    <t>Nhập giá sản phẩm bằng 0 hoặc số âm</t>
  </si>
  <si>
    <t>1. Mở ứng dụng và truy cập vào mục sản phẩm
2. Chọn mục thêm sản phẩm
3. Nhập giá = 0 hoặc số âm
4. Nhấn nút thêm sản phẩm
5. Hiển thị thông báo lỗi</t>
  </si>
  <si>
    <t>Tên SP: Cà chua Beef
Mã SP: SP005
Giá: 0đ
Danh mục: Củ quả</t>
  </si>
  <si>
    <t>Hiển thị thông báo lỗi "Giá sản phẩm phải lớn hơn 0"</t>
  </si>
  <si>
    <t>SP_08</t>
  </si>
  <si>
    <t>Chọn danh mục không có trong hệ thống</t>
  </si>
  <si>
    <t>1. Mở ứng dụng và truy cập vào mục sản phẩm
2. Chọn mục thêm sản phẩm
3. Chọn danh mục không tồn tại
4. Nhấn nút thêm sản phẩm
5. Hiển thị thông báo lỗi</t>
  </si>
  <si>
    <t>Tên SP: Cà chua Beef
Mã SP: SP006
Giá: 60,000đ
Danh mục: Danh mục không tồn tại</t>
  </si>
  <si>
    <t>Hiển thị thông báo lỗi "Danh mục không tồn tại"</t>
  </si>
  <si>
    <t>Sửa sản phẩm</t>
  </si>
  <si>
    <t>SP_09</t>
  </si>
  <si>
    <t>Check sửa sản phẩm thành công</t>
  </si>
  <si>
    <t>Sửa sản phẩm thành công với tất cả các thông tin đầy đủ và hợp lệ</t>
  </si>
  <si>
    <t>1. Mở ứng dụng và truy cập vào mục sản phẩm
2. Chọn vào mục sửa sản phẩm
3. Chọn sản phẩm cần sửa
4. Nhập thông tin hợp lệ
5. Nhấn nút sửa sản phẩm
6. Hiển thị sửa thành công</t>
  </si>
  <si>
    <t>Tên SP: Cà chua Beef (cũ)
Sửa thành: Cà chua Beef Organic
Mã SP: SP001 (giữ nguyên)
Giá: 60,000đ -&gt; 75,000đ
Danh mục: Củ quả</t>
  </si>
  <si>
    <t>Dữ liệu được cập nhật vào CSDL và load lên các trang</t>
  </si>
  <si>
    <t>Đăng nhập quyền admin, có SP_01 trong DB, giao diện dễ thao tác</t>
  </si>
  <si>
    <t>SP_10</t>
  </si>
  <si>
    <t>Check sửa sản phẩm thất bại</t>
  </si>
  <si>
    <t>Để trống các trường dữ liệu bắt buộc khi sửa</t>
  </si>
  <si>
    <t>1. Mở ứng dụng và truy cập vào mục sản phẩm
2. Vào mục sửa sản phẩm
3. Chọn sản phẩm cần sửa
4. Để trống các trường dữ liệu bắt buộc
5. Nhấn nút sửa
6. Hiển thị mời nhập thông tin sản phẩm</t>
  </si>
  <si>
    <t>Chọn SP_01, để trống trường Tên sản phẩm và Giá</t>
  </si>
  <si>
    <t>Hiển thị thông báo lỗi và quay về trang quản lý sản phẩm</t>
  </si>
  <si>
    <t>Có SP_01 trong DB</t>
  </si>
  <si>
    <t>SP_11</t>
  </si>
  <si>
    <t>Kiểm tra validate dữ liệu sai format</t>
  </si>
  <si>
    <t>1. Mở app → vào sản phẩm 
2. Vào sửa SP 
3. Chọn SP 
4. Nhập giá sai (abcxyz) 
5. Nhấn sửa 
6. Hiển thị lỗi</t>
  </si>
  <si>
    <t>Tên: Cà chua Beef Mã: SP001 Giá: abcxyzđ</t>
  </si>
  <si>
    <t>Không cập nhật DB, báo lỗi format</t>
  </si>
  <si>
    <t>SP_12</t>
  </si>
  <si>
    <t>Kiểm tra validate ảnh &gt;5MB</t>
  </si>
  <si>
    <t>1. Mở app 
2. Vào sửa SP 
3. Chọn SP 
4. Upload ảnh &gt;5MB 
5. Nhấn sửa 
6. Hiển thị lỗi</t>
  </si>
  <si>
    <t>Ảnh: large_image_10MB.jpg</t>
  </si>
  <si>
    <t>Không cập nhật DB, báo lỗi ảnh</t>
  </si>
  <si>
    <t>SP_13</t>
  </si>
  <si>
    <t>Kiểm tra trùng tên</t>
  </si>
  <si>
    <t>1. Mở app 
2. Vào sửa SP 
3. Chọn SP_01 
4. Đổi tên thành SP_02 
5. Nhấn sửa</t>
  </si>
  <si>
    <t>Tên mới: Dưa lưới</t>
  </si>
  <si>
    <t>Báo lỗi "Tên sản phẩm đã tồn tại"</t>
  </si>
  <si>
    <t>Báo lỗi đúng</t>
  </si>
  <si>
    <t>Có SP_01, SP_02</t>
  </si>
  <si>
    <t>SP_14</t>
  </si>
  <si>
    <t>Kiểm tra mất kết nối DB</t>
  </si>
  <si>
    <t>1. Mở app 
2. Vào sửa SP 
3. Nhập dữ liệu 
4. Ngắt DB 5. Nhấn sửa</t>
  </si>
  <si>
    <t>Giá: 80,000đ</t>
  </si>
  <si>
    <t>Báo lỗi hệ thống</t>
  </si>
  <si>
    <t>DB bị ngắt</t>
  </si>
  <si>
    <t>SP_15</t>
  </si>
  <si>
    <t>Kiểm tra SP không có</t>
  </si>
  <si>
    <t>1. Mở app 
2. Vào sửa SP 
3. Nhập SP999 
4. Nhấn sửa</t>
  </si>
  <si>
    <t>SP999</t>
  </si>
  <si>
    <t>Báo lỗi không tồn tại</t>
  </si>
  <si>
    <t>SP_16</t>
  </si>
  <si>
    <t>Kiểm tra SP đang xử lý</t>
  </si>
  <si>
    <t>1. Mở app 
2. Vào sửa SP 
3. Chọn SP có đơn 
4. Sửa giá 
5. Nhấn sửa</t>
  </si>
  <si>
    <t>Giá mới: 70k</t>
  </si>
  <si>
    <t>Hiển thị cảnh báo</t>
  </si>
  <si>
    <t>Có đơn hàng</t>
  </si>
  <si>
    <t>Sửa hình ảnh với kích thước vượt quá giới hạn cho phép</t>
  </si>
  <si>
    <t>1. Mở ứng dụng và truy cập vào mục sản phẩm
2. Vào mục sửa sản phẩm
3. Chọn sản phẩm cần sửa
4. Nhập ảnh quá kích cỡ quy định (&gt;5MB)
5. Nhấn nút sửa
6. Hiển thị dữ liệu ảnh không hợp lệ, mời nhập lại</t>
  </si>
  <si>
    <t>Chọn SP_01
Ảnh mới: large_image_10MB.jpg (kích thước &gt;5MB)</t>
  </si>
  <si>
    <t>Dữ liệu không cập nhật vào CSDL và quay về trang quản lý sản phẩm</t>
  </si>
  <si>
    <t>Sửa tên sản phẩm thành tên đã tồn tại</t>
  </si>
  <si>
    <t>1. Mở ứng dụng và truy cập vào mục sản phẩm
2. Vào mục sửa sản phẩm
3. Chọn sản phẩm cần sửa
4. Sửa tên sản phẩm thành tên của SP khác đã tồn tại
5. Nhấn nút sửa
6. Hiển thị thông báo lỗi</t>
  </si>
  <si>
    <t>Chọn SP_01 (Cà chua Beef)
Sửa tên thành "Dưa lưới" (tên của SP_02 đã tồn tại)</t>
  </si>
  <si>
    <t>Dữ liệu không cập nhật vào CSDL, hiển thị lỗi "Tên sản phẩm đã tồn tại"</t>
  </si>
  <si>
    <t>Có SP_01 và SP_02 trong DB</t>
  </si>
  <si>
    <t>Lỗi cập nhật cơ sở dữ liệu (mất kết nối DB)</t>
  </si>
  <si>
    <t>1. Mở ứng dụng và truy cập vào mục sản phẩm
2. Vào mục sửa sản phẩm
3. Chọn sản phẩm cần sửa
4. Nhập dữ liệu cần sửa
5. Ngắt kết nối database
6. Nhấn nút sửa
7. Hiển thị lỗi hệ thống, mời nhập lại</t>
  </si>
  <si>
    <t>Chọn SP_01
Tên SP: Cà chua Beef Organic
Giá: 80,000đ</t>
  </si>
  <si>
    <t>Dữ liệu không cập nhật vào CSDL, hiển thị thông báo lỗi hệ thống</t>
  </si>
  <si>
    <t>Có SP_01 trong DB, kết nối DB bị ngắt</t>
  </si>
  <si>
    <t>Sửa sản phẩm đã bị xóa hoặc không tồn tại</t>
  </si>
  <si>
    <t>1. Mở ứng dụng và truy cập vào mục sản phẩm
2. Vào mục sửa sản phẩm
3. Nhập mã SP không tồn tại
4. Nhấn nút sửa
5. Hiển thị thông báo lỗi</t>
  </si>
  <si>
    <t>Mã SP: SP999 (không tồn tại trong DB)</t>
  </si>
  <si>
    <t>Hiển thị thông báo lỗi "Sản phẩm không tồn tại"</t>
  </si>
  <si>
    <t>Xóa sản phẩm</t>
  </si>
  <si>
    <t>SP_17</t>
  </si>
  <si>
    <t>Check xóa sản phẩm thành công</t>
  </si>
  <si>
    <t>Xóa sản phẩm chưa phát sinh giao dịch (chưa có đơn hàng, chưa nhập kho)</t>
  </si>
  <si>
    <t>1. Mở ứng dụng và truy cập vào mục sản phẩm
2. Chọn sản phẩm cần xóa
3. Nhấn nút xóa
4. Xác nhận xóa
5. Hiển thị xóa thành công</t>
  </si>
  <si>
    <t>SP_Test (mới tạo, chưa có đơn hàng, chưa nhập kho)</t>
  </si>
  <si>
    <t>Sản phẩm bị xóa khỏi hệ thống, không hiển thị trong danh sách</t>
  </si>
  <si>
    <t>Tạo SP_Test trước khi xóa</t>
  </si>
  <si>
    <t>SP_18</t>
  </si>
  <si>
    <t>Check xóa sản phẩm thất bại</t>
  </si>
  <si>
    <t>Xóa sản phẩm vẫn còn hàng trong kho</t>
  </si>
  <si>
    <t>1. Mở ứng dụng và truy cập vào mục sản phẩm
2. Chọn sản phẩm có tồn kho &gt; 0
3. Nhấn nút xóa
4. Hiển thị thông báo lỗi</t>
  </si>
  <si>
    <t>SP_01 có tồn kho = 50kg</t>
  </si>
  <si>
    <t>Hiển thị lỗi "Không thể xóa SP còn tồn kho. Vui lòng xuất hết hàng trước"</t>
  </si>
  <si>
    <t>Có SP_01 đã nhập kho</t>
  </si>
  <si>
    <t>SP_19</t>
  </si>
  <si>
    <t>Xóa sản phẩm đang có đơn hàng chưa hoàn thành</t>
  </si>
  <si>
    <t>1. Mở ứng dụng và truy cập vào mục sản phẩm
2. Chọn sản phẩm có đơn hàng trạng thái "Đang giao"
3. Nhấn nút xóa
4. Hiển thị thông báo lỗi</t>
  </si>
  <si>
    <t>SP_01 có đơn hàng trạng thái "Đang giao"</t>
  </si>
  <si>
    <t>Hiển thị lỗi "Không thể xóa SP có đơn hàng chưa hoàn thành"</t>
  </si>
  <si>
    <t>Có SP_01 và đơn hàng chưa hoàn thành</t>
  </si>
  <si>
    <t>Cập nhật giá</t>
  </si>
  <si>
    <t>SP_31</t>
  </si>
  <si>
    <t>Check cập nhật giá SP thành công</t>
  </si>
  <si>
    <t>Cập nhật giá sản phẩm thành công</t>
  </si>
  <si>
    <t>1. Mở ứng dụng và truy cập vào mục sản phẩm
2. Chọn sửa sản phẩm
3. Nhập giá mới
4. Lưu lại</t>
  </si>
  <si>
    <t>SP_01, giá cũ: 60,000đ, giá mới: 75,000đ</t>
  </si>
  <si>
    <t>Giá SP được cập nhật thành 75,000đ</t>
  </si>
  <si>
    <t>SP_33</t>
  </si>
  <si>
    <t>Cập nhật giá SP với giá trị &lt;= 0</t>
  </si>
  <si>
    <t>1. Mở ứng dụng và truy cập vào mục sản phẩm
2. Chọn sửa sản phẩm
3. Nhập giá = 0 hoặc số âm
4. Lưu lại</t>
  </si>
  <si>
    <t>SP_01, giá mới: 0đ</t>
  </si>
  <si>
    <t>Hiển thị lỗi "Giá sản phẩm phải lớn hơn 0"</t>
  </si>
  <si>
    <t>Thêm Voucher</t>
  </si>
  <si>
    <t>VC_01</t>
  </si>
  <si>
    <t xml:space="preserve">Check thêm voucher thành công </t>
  </si>
  <si>
    <t>Thêm thành công voucher với nhập đúng và đủ dữ liệu</t>
  </si>
  <si>
    <t>1. Mở ứng dụng, đăng nhập Admin
2. Truy cập vào mục Khuyến mãi
3. Chọn vào mục thêm voucher
4. Nhập đầy đủ và chính xác các thông tin
5. Nhấn nút Lưu/Kích hoạt
6. Hiển thị thêm thành công</t>
  </si>
  <si>
    <t>Mã: SALE10
Loại giảm: %
Giá trị: 10
Đơn tối thiểu: 200,000đ
Số lượng: 100
Ngày bắt đầu: 01/03/2026
Ngày kết thúc: 31/03/2026</t>
  </si>
  <si>
    <t>Dữ liệu voucher được thêm vào CSDL, hiển thị trong danh sách</t>
  </si>
  <si>
    <t>Đăng nhập quyền admin, giao diện dễ thao tác</t>
  </si>
  <si>
    <t>VC_02</t>
  </si>
  <si>
    <t>Thêm voucher với loại giảm là số tiền cụ thể</t>
  </si>
  <si>
    <t>1. Mở ứng dụng, đăng nhập Admin
2. Truy cập vào mục Khuyến mãi &gt; Thêm voucher
3. Chọn loại giảm "Theo số tiền"
4. Nhập đầy đủ thông tin
5. Nhấn nút Lưu</t>
  </si>
  <si>
    <t>Mã: GIAM20K
Loại giảm: Số tiền
Giá trị: 20,000đ
Đơn tối thiểu: 100,000đ
Số lượng: 50</t>
  </si>
  <si>
    <t>Dữ liệu voucher được thêm vào CSDL, hiển thị giảm 20,000đ</t>
  </si>
  <si>
    <t>Đăng nhập quyền admin</t>
  </si>
  <si>
    <t>VC_03</t>
  </si>
  <si>
    <t xml:space="preserve">Check thêm voucher thất bại </t>
  </si>
  <si>
    <t>Nhập mã voucher đã tồn tại trong hệ thống</t>
  </si>
  <si>
    <t>1. Mở ứng dụng, đăng nhập Admin
2. Truy cập mục Khuyến mãi &gt; Thêm voucher
3. Nhập mã đã tồn tại
4. Nhập các thông tin khác hợp lệ
5. Nhấn nút Lưu</t>
  </si>
  <si>
    <t>Mã: SALE10 (đã tồn tại từ VC_01)
Giá trị: 15%</t>
  </si>
  <si>
    <t>Hiển thị thông báo lỗi "Mã khuyến mãi đã tồn tại"</t>
  </si>
  <si>
    <t>Có voucher VC_01 trong DB</t>
  </si>
  <si>
    <t>VC_04</t>
  </si>
  <si>
    <t>Để trống trường mã voucher bắt buộc</t>
  </si>
  <si>
    <t>1. Mở ứng dụng, đăng nhập Admin
2. Truy cập mục Khuyến mãi &gt; Thêm voucher
3. Để trống mã voucher
4. Nhập các thông tin khác đầy đủ
5. Nhấn nút Lưu</t>
  </si>
  <si>
    <t>Mã: (bỏ trống)
Giá trị: 10%</t>
  </si>
  <si>
    <t>Hiển thị thông báo lỗi "Vui lòng nhập mã khuyến mãi"</t>
  </si>
  <si>
    <t>VC_05</t>
  </si>
  <si>
    <t>Nhập giá trị giảm bằng 0 hoặc số âm</t>
  </si>
  <si>
    <t>1. Mở ứng dụng, đăng nhập Admin
2. Truy cập mục Khuyến mãi &gt; Thêm voucher
3. Nhập giá trị giảm = 0
4. Nhấn nút Lưu</t>
  </si>
  <si>
    <t>Mã: TEST01
Giá trị giảm: 0%
Đơn tối thiểu: 200,000đ</t>
  </si>
  <si>
    <t>Hiển thị lỗi "Giá trị giảm giá phải lớn hơn 0"</t>
  </si>
  <si>
    <t>VC_06</t>
  </si>
  <si>
    <t>Nhập phần trăm giảm giá vượt quá 100%</t>
  </si>
  <si>
    <t>1. Mở ứng dụng, đăng nhập Admin</t>
  </si>
  <si>
    <t>Mã: TEST02</t>
  </si>
  <si>
    <t>Hiển thị lỗi "Giá trị giảm không được vượt quá 100%"</t>
  </si>
  <si>
    <t>2. Truy cập mục Khuyến mãi &gt; Thêm voucher</t>
  </si>
  <si>
    <t>Loại: %</t>
  </si>
  <si>
    <t>3. Chọn loại %, nhập 150%</t>
  </si>
  <si>
    <t>Giá trị: 150%</t>
  </si>
  <si>
    <t>4. Nhấn nút Lưu</t>
  </si>
  <si>
    <t>VC_07</t>
  </si>
  <si>
    <t>Nhập số lượng voucher bằng 0 hoặc số âm</t>
  </si>
  <si>
    <t>Mã: TEST03</t>
  </si>
  <si>
    <t>Hiển thị lỗi "Số lượng phải lớn hơn 0"</t>
  </si>
  <si>
    <t>Số lượng: 0</t>
  </si>
  <si>
    <t>3. Nhập số lượng = 0</t>
  </si>
  <si>
    <t>Giá trị: 10%</t>
  </si>
  <si>
    <t>VC_08</t>
  </si>
  <si>
    <t>Nhập ngày kết thúc sớm hơn ngày bắt đầu</t>
  </si>
  <si>
    <t>Mã: TEST04</t>
  </si>
  <si>
    <t>Hiển thị lỗi "Ngày kết thúc phải sau ngày bắt đầu"</t>
  </si>
  <si>
    <t>Ngày bắt đầu: 31/03/2026</t>
  </si>
  <si>
    <t>3. Chọn ngày bắt đầu &gt; ngày kết thúc</t>
  </si>
  <si>
    <t>Ngày kết thúc: 15/03/2026</t>
  </si>
  <si>
    <t>Sửa Voucher</t>
  </si>
  <si>
    <t>VC_10</t>
  </si>
  <si>
    <t>Check sửa voucher thành công</t>
  </si>
  <si>
    <t>Sửa thông tin voucher thành công với dữ liệu hợp lệ</t>
  </si>
  <si>
    <t>Mã: SALE10 (VC_01)</t>
  </si>
  <si>
    <t>Dữ liệu voucher được cập nhật vào CSDL, hiển thị giá trị mới</t>
  </si>
  <si>
    <t>2. Truy cập mục Khuyến mãi</t>
  </si>
  <si>
    <t>Giá trị cũ: 10%</t>
  </si>
  <si>
    <t>3. Chọn voucher cần sửa</t>
  </si>
  <si>
    <t>Giá trị mới: 15%</t>
  </si>
  <si>
    <t>4. Sửa giá trị giảm từ 10% lên 15%</t>
  </si>
  <si>
    <t>5. Nhấn nút Cập nhật</t>
  </si>
  <si>
    <t>VC_11</t>
  </si>
  <si>
    <t>Check sửa voucher thất bại - Voucher không tồn tại</t>
  </si>
  <si>
    <t>Sửa voucher đã bị xóa hoặc không tồn tại</t>
  </si>
  <si>
    <t>Mã: KHONGCOSP (không tồn tại trong DB)</t>
  </si>
  <si>
    <t>Hiển thị lỗi "Voucher không tồn tại"</t>
  </si>
  <si>
    <t>3. Nhập mã voucher không tồn tại</t>
  </si>
  <si>
    <t>4. Sửa thông tin</t>
  </si>
  <si>
    <t>VC_12</t>
  </si>
  <si>
    <t>Check sửa voucher thất bại - Voucher đang được sử dụng</t>
  </si>
  <si>
    <t>Sửa voucher đã được khách hàng áp dụng thành công</t>
  </si>
  <si>
    <t>1. Khách hàng dùng voucher thành công</t>
  </si>
  <si>
    <t>Mã: SALE10 (đã có đơn hàng sử dụng)</t>
  </si>
  <si>
    <t>Hiển thị lỗi "Không thể sửa voucher đang được sử dụng"</t>
  </si>
  <si>
    <t>Có đơn hàng đã dùng voucher VC_01</t>
  </si>
  <si>
    <t>2. Admin thử sửa voucher đó</t>
  </si>
  <si>
    <t>VC_13</t>
  </si>
  <si>
    <t>Check sửa voucher thất bại - Voucher đã hết hạn</t>
  </si>
  <si>
    <t>Sửa voucher đã quá thời gian kết thúc</t>
  </si>
  <si>
    <t>1. Tạo voucher với End_Date = hôm qua</t>
  </si>
  <si>
    <t>Mã: SALE_HETHAN</t>
  </si>
  <si>
    <t>Hiển thị lỗi "Không thể sửa voucher đã hết hạn"</t>
  </si>
  <si>
    <t>Có voucher đã hết hạn</t>
  </si>
  <si>
    <t>2. Thử sửa voucher đó</t>
  </si>
  <si>
    <t>End_Date &lt; ngày hiện tại</t>
  </si>
  <si>
    <t>VC_14</t>
  </si>
  <si>
    <t>Check sửa voucher - Gia hạn thời gian thành công</t>
  </si>
  <si>
    <t>Kéo dài thời gian áp dụng của voucher</t>
  </si>
  <si>
    <t>Mã: SALE10</t>
  </si>
  <si>
    <t>Cập nhật thành công, voucher có hiệu lực đến 30/04/2026</t>
  </si>
  <si>
    <t>2. Chọn voucher sắp hết hạn</t>
  </si>
  <si>
    <t>End_Date cũ: 31/03/2026</t>
  </si>
  <si>
    <t>3. Sửa End_Date xa hơn</t>
  </si>
  <si>
    <t>End_Date mới: 30/04/2026</t>
  </si>
  <si>
    <t>4. Nhấn Cập nhật</t>
  </si>
  <si>
    <t>Xóa Voucher</t>
  </si>
  <si>
    <t>VC_15</t>
  </si>
  <si>
    <t>Check xóa voucher thành công</t>
  </si>
  <si>
    <t>Xóa voucher chưa được sử dụng</t>
  </si>
  <si>
    <t>Mã: TEST_DELETE (mới tạo, chưa có giao dịch)</t>
  </si>
  <si>
    <t>Voucher bị xóa khỏi hệ thống, không hiển thị trong danh sách</t>
  </si>
  <si>
    <t>Tạo voucher TEST_DELETE trước khi xóa</t>
  </si>
  <si>
    <t>2. Tạo voucher mới TEST_DELETE</t>
  </si>
  <si>
    <t>3. Chọn voucher TEST_DELETE</t>
  </si>
  <si>
    <t>4. Nhấn nút Xóa</t>
  </si>
  <si>
    <t>5. Xác nhận xóa</t>
  </si>
  <si>
    <t>VC_16</t>
  </si>
  <si>
    <t>Check xóa voucher thất bại - Voucher đang được áp dụng</t>
  </si>
  <si>
    <t>Xóa voucher đã được khách hàng sử dụng</t>
  </si>
  <si>
    <t>Hiển thị lỗi "Không thể xóa voucher đang được sử dụng"</t>
  </si>
  <si>
    <t>2. Admin thử xóa voucher đó</t>
  </si>
  <si>
    <t>Xem danh sách Voucher</t>
  </si>
  <si>
    <t>VC_17</t>
  </si>
  <si>
    <t>Check xem danh sách voucher thành công</t>
  </si>
  <si>
    <t>Xem danh sách voucher với phân trang, bộ lọc</t>
  </si>
  <si>
    <t>Có nhiều voucher trong DB (&gt;10 voucher)</t>
  </si>
  <si>
    <t>Hiển thị danh sách voucher với phân trang, bộ lọc hoạt động</t>
  </si>
  <si>
    <t>Có nhiều voucher trong DB</t>
  </si>
  <si>
    <t>3. Xem danh sách voucher</t>
  </si>
  <si>
    <t>4. Chuyển trang, chọn bộ lọc</t>
  </si>
  <si>
    <t>VC_18</t>
  </si>
  <si>
    <t>Check xem danh sách voucher - Không có voucher</t>
  </si>
  <si>
    <t>Xem danh sách khi chưa có voucher nào</t>
  </si>
  <si>
    <t>1. Xóa hết voucher trong DB</t>
  </si>
  <si>
    <t>DB trống, không có voucher</t>
  </si>
  <si>
    <t>Hiển thị "Chưa có voucher nào"</t>
  </si>
  <si>
    <t>Xóa hết voucher</t>
  </si>
  <si>
    <t>VC_19</t>
  </si>
  <si>
    <t>Check lọc voucher theo trạng thái "Đang hoạt động"</t>
  </si>
  <si>
    <t>Lọc danh sách voucher đang hoạt động</t>
  </si>
  <si>
    <t>Bộ lọc: Active</t>
  </si>
  <si>
    <t>Chỉ hiển thị các voucher có trạng thái Active</t>
  </si>
  <si>
    <t>Có voucher với nhiều trạng thái khác nhau</t>
  </si>
  <si>
    <t>3. Chọn bộ lọc "Đang hoạt động"</t>
  </si>
  <si>
    <t>VC_20</t>
  </si>
  <si>
    <t>Check lọc voucher theo trạng thái "Đã hết hạn"</t>
  </si>
  <si>
    <t>Lọc danh sách voucher đã hết hạn</t>
  </si>
  <si>
    <t>Bộ lọc: Expired</t>
  </si>
  <si>
    <t>Chỉ hiển thị các voucher có End_Date &lt; ngày hiện tại</t>
  </si>
  <si>
    <t>3. Chọn bộ lọc "Đã hết hạn"</t>
  </si>
  <si>
    <t>Tìm kiếm Voucher</t>
  </si>
  <si>
    <t>VC_21</t>
  </si>
  <si>
    <t>Check tìm kiếm voucher thành công theo mã</t>
  </si>
  <si>
    <t>Tìm kiếm voucher theo mã chính xác</t>
  </si>
  <si>
    <t>Hiển thị voucher có mã "SALE10"</t>
  </si>
  <si>
    <t>3. Nhập mã voucher cần tìm</t>
  </si>
  <si>
    <t>4. Nhấn nút Tìm kiếm</t>
  </si>
  <si>
    <t>VC_22</t>
  </si>
  <si>
    <t>Check tìm kiếm voucher thất bại - Không có kết quả</t>
  </si>
  <si>
    <t>Tìm kiếm với mã không tồn tại</t>
  </si>
  <si>
    <t>Mã: KHONGCOSPNAY</t>
  </si>
  <si>
    <t>Hiển thị "Không tìm thấy voucher phù hợp"</t>
  </si>
  <si>
    <t>3. Nhập mã không tồn tại</t>
  </si>
  <si>
    <t>Kích hoạt/Vô hiệu hóa Voucher</t>
  </si>
  <si>
    <t>VC_23</t>
  </si>
  <si>
    <t>Check kích hoạt voucher thành công</t>
  </si>
  <si>
    <t>Kích hoạt voucher đang ở trạng thái Inactive</t>
  </si>
  <si>
    <t>1. Tạo voucher với trạng thái Inactive</t>
  </si>
  <si>
    <t>Mã: TEST_INACTIVE (đang Inactive)</t>
  </si>
  <si>
    <t>Voucher chuyển sang trạng thái Active, có thể sử dụng</t>
  </si>
  <si>
    <t>Tạo voucher ở trạng thái Inactive</t>
  </si>
  <si>
    <t>2. Chọn voucher đó</t>
  </si>
  <si>
    <t>3. Nhấn nút "Kích hoạt"</t>
  </si>
  <si>
    <t>VC_24</t>
  </si>
  <si>
    <t>Check kích hoạt voucher thất bại - Voucher đã hết hạn</t>
  </si>
  <si>
    <t>Kích hoạt voucher đã quá hạn sử dụng</t>
  </si>
  <si>
    <t>Mã: TEST_HETHAN</t>
  </si>
  <si>
    <t>Hiển thị lỗi "Không thể kích hoạt voucher đã hết hạn"</t>
  </si>
  <si>
    <t>2. Thử kích hoạt voucher đó</t>
  </si>
  <si>
    <t>VC_25</t>
  </si>
  <si>
    <t>Check vô hiệu hóa voucher thành công</t>
  </si>
  <si>
    <t>Vô hiệu hóa voucher đang hoạt động</t>
  </si>
  <si>
    <t>1. Chọn voucher đang Active</t>
  </si>
  <si>
    <t>Mã: SALE10 (đang Active)</t>
  </si>
  <si>
    <t>Voucher chuyển sang Inactive, không thể sử dụng</t>
  </si>
  <si>
    <t>Có voucher VC_01 đang Active</t>
  </si>
  <si>
    <t>2. Nhấn nút "Vô hiệu hóa"</t>
  </si>
  <si>
    <t>VC_26</t>
  </si>
  <si>
    <t>Check vô hiệu hóa voucher thất bại - Voucher đang sử dụng</t>
  </si>
  <si>
    <t>Vô hiệu hóa voucher đã được khách dùng</t>
  </si>
  <si>
    <t>Hiển thị lỗi "Không thể vô hiệu hóa voucher đang được sử dụng"</t>
  </si>
  <si>
    <t>2. Admin thử vô hiệu hóa voucher đó</t>
  </si>
  <si>
    <t>Áp dụng Voucher khi đặt hàng</t>
  </si>
  <si>
    <t>VC_27</t>
  </si>
  <si>
    <t>Check áp dụng voucher thành công tại thanh toán</t>
  </si>
  <si>
    <t>Khách hàng nhập voucher hợp lệ khi đặt hàng</t>
  </si>
  <si>
    <t>1. Khách hàng đăng nhập</t>
  </si>
  <si>
    <t>Đơn hàng: 300,000đ</t>
  </si>
  <si>
    <t>Tổng tiền giảm từ 300,000đ xuống 270,000đ</t>
  </si>
  <si>
    <t>Có voucher VC_01 đang Active, khách đã đăng nhập</t>
  </si>
  <si>
    <t>2. Thêm SP vào giỏ, tạo đơn hàng 300,000đ</t>
  </si>
  <si>
    <t>Voucher: SALE10 (giảm 10%)</t>
  </si>
  <si>
    <t>3. Nhập voucher SALE10 (giảm 10%)</t>
  </si>
  <si>
    <t>4. Nhấn "Áp dụng"</t>
  </si>
  <si>
    <t>VC_28</t>
  </si>
  <si>
    <t>Check áp dụng voucher thất bại - Đơn chưa đạt điều kiện</t>
  </si>
  <si>
    <t>Đơn hàng chưa đạt giá trị tối thiểu</t>
  </si>
  <si>
    <t>1. Khách hàng tạo đơn hàng 150,000đ</t>
  </si>
  <si>
    <t>Đơn hàng: 150,000đ</t>
  </si>
  <si>
    <t>Hiển thị lỗi "Đơn hàng chưa đạt giá trị tối thiểu để sử dụng mã này"</t>
  </si>
  <si>
    <t>2. Nhập voucher yêu cầu đơn tối thiểu 200,000đ</t>
  </si>
  <si>
    <t>Voucher: SALE10 (Min 200,000đ)</t>
  </si>
  <si>
    <t>3. Nhấn "Áp dụng"</t>
  </si>
  <si>
    <t>VC_29</t>
  </si>
  <si>
    <t>Check áp dụng voucher thất bại - Voucher đã hết hạn</t>
  </si>
  <si>
    <t>Voucher đã quá thời gian sử dụng</t>
  </si>
  <si>
    <t>1. Khách hàng tạo đơn hàng</t>
  </si>
  <si>
    <t>Voucher đã hết hạn</t>
  </si>
  <si>
    <t>Hiển thị lỗi "Mã khuyến mãi đã hết hạn"</t>
  </si>
  <si>
    <t>2. Nhập voucher có End_Date &lt; ngày hiện tại</t>
  </si>
  <si>
    <t>VC_30</t>
  </si>
  <si>
    <t>Check áp dụng voucher thất bại - Voucher đã hết lượt</t>
  </si>
  <si>
    <t>Voucher đã được sử dụng hết số lượng</t>
  </si>
  <si>
    <t>1. Tạo voucher giới hạn 1 lần</t>
  </si>
  <si>
    <t>Voucher: Usage_Limit = 1, đã dùng hết</t>
  </si>
  <si>
    <t>Hiển thị lỗi "Mã khuyến mãi đã hết lượt sử dụng"</t>
  </si>
  <si>
    <t>Có voucher giới hạn 1 lần, đã có 1 đơn dùng</t>
  </si>
  <si>
    <t>2. Khách A dùng thành công</t>
  </si>
  <si>
    <t>3. Khách B thử dùng cùng mã</t>
  </si>
  <si>
    <t>VC_31</t>
  </si>
  <si>
    <t>Check áp dụng voucher thất bại - Voucher không tồn tại</t>
  </si>
  <si>
    <t>Nhập mã voucher sai, không có trong hệ thống</t>
  </si>
  <si>
    <t>Mã: SAIROI999</t>
  </si>
  <si>
    <t>Hiển thị lỗi "Mã khuyến mãi không hợp lệ"</t>
  </si>
  <si>
    <t>2. Nhập mã không tồn tại</t>
  </si>
  <si>
    <t>VC_33</t>
  </si>
  <si>
    <t>Check xem chi tiết voucher</t>
  </si>
  <si>
    <t>Xem thông tin chi tiết của voucher</t>
  </si>
  <si>
    <t>1. Mở ứng dụng, đăng nhập Admin
2. Truy cập mục Khuyến mãi
3. Nhấp vào tên voucher để xem chi tiết</t>
  </si>
  <si>
    <t>Hiển thị đầy đủ: mã, % giảm, điều kiện, thời gian, số lượt đã dùng/còn lại</t>
  </si>
  <si>
    <t>Xem danh sách đơn hàng</t>
  </si>
  <si>
    <t>DH_01</t>
  </si>
  <si>
    <t>Check xem danh sách đơn hàng thành công</t>
  </si>
  <si>
    <t>Xem danh sách đơn hàng với phân trang, bộ lọc</t>
  </si>
  <si>
    <t>Có nhiều đơn hàng trong DB</t>
  </si>
  <si>
    <t>Hiển thị danh sách đơn hàng với phân trang, bộ lọc hoạt động</t>
  </si>
  <si>
    <t>Có đơn hàng trong DB</t>
  </si>
  <si>
    <t>2. Truy cập mục Quản lý đơn hàng</t>
  </si>
  <si>
    <t>3. Xem danh sách đơn hàng</t>
  </si>
  <si>
    <t>4. Chuyển trang, chọn bộ lọc theo trạng thái</t>
  </si>
  <si>
    <t>DH_02</t>
  </si>
  <si>
    <t>Check xem danh sách đơn hàng - Không có đơn hàng</t>
  </si>
  <si>
    <t>Xem danh sách khi chưa có đơn hàng nào</t>
  </si>
  <si>
    <t>1. Xóa hết đơn hàng trong DB</t>
  </si>
  <si>
    <t>DB trống, không có đơn hàng</t>
  </si>
  <si>
    <t>Hiển thị "Không có đơn hàng nào"</t>
  </si>
  <si>
    <t>Xóa hết đơn hàng</t>
  </si>
  <si>
    <t>2. Đăng nhập Admin</t>
  </si>
  <si>
    <t>3. Truy cập mục Quản lý đơn hàng</t>
  </si>
  <si>
    <t>4. Xem danh sách</t>
  </si>
  <si>
    <t>Tìm kiếm đơn hàng</t>
  </si>
  <si>
    <t>DH_03</t>
  </si>
  <si>
    <t>Check tìm kiếm đơn hàng thành công theo mã đơn</t>
  </si>
  <si>
    <t>Tìm kiếm đơn hàng chính xác theo mã đơn</t>
  </si>
  <si>
    <t>1. Đăng nhập Admin</t>
  </si>
  <si>
    <t>Mã đơn: ORD-001</t>
  </si>
  <si>
    <t>Hiển thị chính xác thông tin đơn hàng ORD-001</t>
  </si>
  <si>
    <t>Có đơn hàng ORD-001 trong DB</t>
  </si>
  <si>
    <t>3. Nhập mã đơn cần tìm</t>
  </si>
  <si>
    <t>5. Xem kết quả</t>
  </si>
  <si>
    <t>DH_04</t>
  </si>
  <si>
    <t>Check tìm kiếm đơn hàng thất bại - Không có kết quả</t>
  </si>
  <si>
    <t>Tìm kiếm với mã đơn không tồn tại</t>
  </si>
  <si>
    <t>Mã đơn: KHONGCOSP</t>
  </si>
  <si>
    <t>Hiển thị "Không tìm thấy đơn hàng phù hợp"</t>
  </si>
  <si>
    <t>3. Nhập mã đơn không tồn tại</t>
  </si>
  <si>
    <t>DH_05</t>
  </si>
  <si>
    <t>Check Admin xác nhận đơn hàng thành công</t>
  </si>
  <si>
    <t>Duyệt đơn và chuyển trạng thái từ "Chờ xử lý" sang "Đang giao"</t>
  </si>
  <si>
    <t>Đơn hàng: ORD-002 (trạng thái "Chờ xử lý")</t>
  </si>
  <si>
    <t>Đơn chuyển sang "Đang giao", tạo phiếu xuất kho</t>
  </si>
  <si>
    <t>Có đơn hàng mới "Chờ xử lý"</t>
  </si>
  <si>
    <t>2. Truy cập Quản lý đơn hàng</t>
  </si>
  <si>
    <t>3. Chọn đơn hàng trạng thái "Chờ xử lý"</t>
  </si>
  <si>
    <t>4. Nhấn nút "Xác nhận đơn"</t>
  </si>
  <si>
    <t>5. Xác nhận</t>
  </si>
  <si>
    <t>6. Kiểm tra trạng thái đơn hàng</t>
  </si>
  <si>
    <t>DH_06</t>
  </si>
  <si>
    <t>Check Admin cập nhật đơn hàng thành "Hoàn thành"</t>
  </si>
  <si>
    <t>Hoàn tất đơn hàng sau khi giao thành công</t>
  </si>
  <si>
    <t>Đơn hàng: ORD-002 (trạng thái "Đang giao")</t>
  </si>
  <si>
    <t>Đơn chuyển sang "Hoàn thành", khách được phép đánh giá</t>
  </si>
  <si>
    <t>Có đơn hàng đã xác nhận (DH_05)</t>
  </si>
  <si>
    <t>3. Chọn đơn hàng trạng thái "Đang giao"</t>
  </si>
  <si>
    <t>4. Nhấn nút "Hoàn thành đơn"</t>
  </si>
  <si>
    <t>6. Kiểm tra trạng thái</t>
  </si>
  <si>
    <t>Nhập kho</t>
  </si>
  <si>
    <t>KH_01</t>
  </si>
  <si>
    <t>Check nhập kho thành công</t>
  </si>
  <si>
    <t>Nhập kho thành công cho lô hàng với số lượng hợp lệ</t>
  </si>
  <si>
    <t>1. Mở ứng dụng, đăng nhập Admin/Thủ kho</t>
  </si>
  <si>
    <t>Lô hàng: #BATCH-01 (Cà chua Beef)</t>
  </si>
  <si>
    <t>Thông báo thành công, tồn kho tăng lên 100kg</t>
  </si>
  <si>
    <t>Đăng nhập quyền admin, có lô hàng trong DB</t>
  </si>
  <si>
    <t>2. Truy cập mục Kho hàng &gt; Nhập kho</t>
  </si>
  <si>
    <t>Số lượng nhập: 100kg</t>
  </si>
  <si>
    <t>3. Chọn lô hàng từ dropdown</t>
  </si>
  <si>
    <t>4. Nhập số lượng thực nhập</t>
  </si>
  <si>
    <t>5. Nhấn nút Xác nhận nhập</t>
  </si>
  <si>
    <t>6. Hiển thị thông báo thành công</t>
  </si>
  <si>
    <t>KH_02</t>
  </si>
  <si>
    <t>Check nhập kho thất bại - Mã lô không tồn tại</t>
  </si>
  <si>
    <t>Chọn lô hàng không có trong hệ thống</t>
  </si>
  <si>
    <t>Mã lô: BATCH-KHONG-TON-TAI</t>
  </si>
  <si>
    <t>Hiển thị lỗi "Mã lô hàng không tồn tại"</t>
  </si>
  <si>
    <t>3. Nhập mã lô không tồn tại</t>
  </si>
  <si>
    <t>4. Nhấn nút Xác nhận nhập</t>
  </si>
  <si>
    <t>5. Hiển thị thông báo lỗi</t>
  </si>
  <si>
    <t>KH_03</t>
  </si>
  <si>
    <t>Check nhập kho thất bại - Số lượng &lt;= 0</t>
  </si>
  <si>
    <t>Nhập số lượng bằng 0 hoặc số âm</t>
  </si>
  <si>
    <t>Lô hàng: #BATCH-01</t>
  </si>
  <si>
    <t>Hiển thị lỗi "Số lượng nhập phải lớn hơn 0"</t>
  </si>
  <si>
    <t>Có lô hàng trong DB</t>
  </si>
  <si>
    <t>3. Chọn lô hàng</t>
  </si>
  <si>
    <t>4. Nhập số lượng = 0</t>
  </si>
  <si>
    <t>6. Hiển thị thông báo lỗi</t>
  </si>
  <si>
    <t>Xuất kho</t>
  </si>
  <si>
    <t>KH_04</t>
  </si>
  <si>
    <t>Check xuất kho thành công (khi xác nhận đơn)</t>
  </si>
  <si>
    <t>Tự động trừ tồn kho khi admin xác nhận đơn hàng</t>
  </si>
  <si>
    <t>1. Khách đặt hàng 5kg Cà chua Beef</t>
  </si>
  <si>
    <t>Tồn kho trước: 100kg</t>
  </si>
  <si>
    <t>Tồn kho giảm còn 95kg, đơn chuyển sang "Đang giao"</t>
  </si>
  <si>
    <t>Có đơn hàng mới, có tồn kho KH_01</t>
  </si>
  <si>
    <t>2. Admin đăng nhập</t>
  </si>
  <si>
    <t>Số lượng đặt: 5kg</t>
  </si>
  <si>
    <t>3. Vào Quản lý đơn hàng, chọn đơn cần xác nhận</t>
  </si>
  <si>
    <t>5. Kiểm tra tồn kho sau xác nhận</t>
  </si>
  <si>
    <t>KH_05</t>
  </si>
  <si>
    <t>Check xuất hủy hàng thành công (do hư hỏng)</t>
  </si>
  <si>
    <t>Xuất hủy hàng bị hư hỏng, giảm tồn kho</t>
  </si>
  <si>
    <t>1. Admin vào Quản lý kho</t>
  </si>
  <si>
    <t>Sản phẩm: Cà chua Beef</t>
  </si>
  <si>
    <t>Tồn kho giảm 5kg, ghi nhận lịch sử xuất hủy</t>
  </si>
  <si>
    <t>Có tồn kho KH_01</t>
  </si>
  <si>
    <t>2. Chọn sản phẩm cần xuất hủy</t>
  </si>
  <si>
    <t>Số lượng hủy: 5kg</t>
  </si>
  <si>
    <t>3. Nhấn "Xuất hủy"</t>
  </si>
  <si>
    <t>Lý do: "Hư hỏng do vận chuyển"</t>
  </si>
  <si>
    <t>4. Nhập số lượng và lý do</t>
  </si>
  <si>
    <t>5. Nhấn Xác nhận</t>
  </si>
  <si>
    <t>6. Kiểm tra tồn kho sau xuất hủy</t>
  </si>
  <si>
    <t>Kiểm kho</t>
  </si>
  <si>
    <t>KH_06</t>
  </si>
  <si>
    <t>Check kiểm kho - Phát hiện chênh lệch</t>
  </si>
  <si>
    <t>Kiểm kho và điều chỉnh khi có chênh lệch</t>
  </si>
  <si>
    <t>1. Admin vào Kiểm kho</t>
  </si>
  <si>
    <t>Hệ thống: 100kg</t>
  </si>
  <si>
    <t>Hiển thị chênh lệch -2kg, tồn kho cập nhật thành 98kg</t>
  </si>
  <si>
    <t>2. Nhập số lượng thực tế kiểm đếm</t>
  </si>
  <si>
    <t>Thực tế: 98kg</t>
  </si>
  <si>
    <t>3. Hệ thống tính toán chênh lệch</t>
  </si>
  <si>
    <t>4. Xác nhận điều chỉnh</t>
  </si>
  <si>
    <t>5. Kiểm tra tồn kho sau điều chỉnh</t>
  </si>
  <si>
    <t>KH_07</t>
  </si>
  <si>
    <t>Check kiểm kho - Không có chênh lệch</t>
  </si>
  <si>
    <t>Kiểm kho khi số lượng thực tế khớp với hệ thống</t>
  </si>
  <si>
    <t>Thông báo "Kiểm kho hoàn tất. Không có chênh lệch"</t>
  </si>
  <si>
    <t>2. Nhập số lượng thực tế = hệ thống</t>
  </si>
  <si>
    <t>Thực tế: 100kg</t>
  </si>
  <si>
    <t>3. Xác nhận</t>
  </si>
  <si>
    <t>4. Hiển thị kết quả kiểm kho</t>
  </si>
  <si>
    <t>Cập nhật tồn kho</t>
  </si>
  <si>
    <t>KH_08</t>
  </si>
  <si>
    <t>Check cập nhật tồn kho thủ công thành công</t>
  </si>
  <si>
    <t>Điều chỉnh tồn kho bằng tay có lý do</t>
  </si>
  <si>
    <t>1. Admin &gt; Cập nhật tồn kho</t>
  </si>
  <si>
    <t>Tồn cũ: 100kg</t>
  </si>
  <si>
    <t>Cập nhật thành công, tồn kho = 95kg</t>
  </si>
  <si>
    <t>2. Nhập số lượng mới</t>
  </si>
  <si>
    <t>Tồn mới: 95kg</t>
  </si>
  <si>
    <t>3. Nhập lý do điều chỉnh</t>
  </si>
  <si>
    <t>Lý do: "Điều chỉnh kiểm kê"</t>
  </si>
  <si>
    <t>4. Nhấn Xác nhận</t>
  </si>
  <si>
    <t>5. Kiểm tra tồn kho sau cập nhật</t>
  </si>
  <si>
    <t>KH_09</t>
  </si>
  <si>
    <t>Check cập nhật tồn kho thất bại - Không có lý do</t>
  </si>
  <si>
    <t>Bắt buộc nhập lý do khi điều chỉnh tồn kho</t>
  </si>
  <si>
    <t>Hiển thị lỗi "Vui lòng nhập lý do điều chỉnh"</t>
  </si>
  <si>
    <t>Lý do: (bỏ trống)</t>
  </si>
  <si>
    <t>3. Để trống lý do</t>
  </si>
  <si>
    <t>Đăng kí</t>
  </si>
  <si>
    <t>GUI_01</t>
  </si>
  <si>
    <t>Check form giao diện</t>
  </si>
  <si>
    <t xml:space="preserve">B1 :Mở ứng dụng 
b2: nhấn vào button đăng kí
b3 : hiện ra giao diện đăng  kí </t>
  </si>
  <si>
    <t xml:space="preserve">hiện ra giao diện đăng kí với nút button đăng kí 
và các ô text filed như tên đăng nhập ,mật khẩu ,số điện thoại </t>
  </si>
  <si>
    <t>đăng nhập với tư cách khách hàng hoặc admin</t>
  </si>
  <si>
    <t>pass</t>
  </si>
  <si>
    <t>GUI_02</t>
  </si>
  <si>
    <t>Check cỡ chữ ,màu sắc</t>
  </si>
  <si>
    <t xml:space="preserve">B1 :Mở ứng dụng 
b2: nhấn vào button đăng nhập
b3 : hiện ra giao diện đăng  nhập </t>
  </si>
  <si>
    <t>font("time new roman" ,font,bold,16)
color(13,83,79)</t>
  </si>
  <si>
    <t>đăng nhập</t>
  </si>
  <si>
    <t>GUI_03</t>
  </si>
  <si>
    <t>thành công</t>
  </si>
  <si>
    <t xml:space="preserve">Hiện ra giao diện "đăng nhập " với nút  button "đăng nhâp  
và ô text filed như tên đăng nhập và mật khẩu </t>
  </si>
  <si>
    <t>GUI_04</t>
  </si>
  <si>
    <t>quản lý Sản phẩm</t>
  </si>
  <si>
    <t>GUI_05</t>
  </si>
  <si>
    <t xml:space="preserve">B1: mở ứng dụng 
b2 : đăng nhập vào hệ thống 
b3 :chọn vào mục quản lý sản phẩm 
b4 : hiện ra giao diện  quản lý sản phẩm </t>
  </si>
  <si>
    <t xml:space="preserve">Hiện ra giao diện "quản lý sản phẩm" với nút  button "thêm" ,"sửa" ,
"chuyển trạng thái","tìm kiếm" 
và ô text fild tìm kiếm ,các ô nhập liệu 
và bảng sản phẩm  khớp với dữ liệu hệ thống </t>
  </si>
  <si>
    <t>đăng nhập với tư cách  admin</t>
  </si>
  <si>
    <t>GUI_06</t>
  </si>
  <si>
    <t>font("time new roman" ,font,bold,18)
color(19,13,29)</t>
  </si>
  <si>
    <t>bảo hành</t>
  </si>
  <si>
    <t>GUI_07</t>
  </si>
  <si>
    <t>B1: mở ứng dụng 
b2 : đăng nhập vào hệ thống 
b3 :chọn vào mục quản lý bảo hành
b4 : hiện ra giao diện  quản lý bảo hành</t>
  </si>
  <si>
    <t xml:space="preserve">Hiện ra giao diện "quản lý bảo hành" với nút  button "thêm" ,"sửa" ,
"chuyển trạng thái","tìm kiếm" 
và ô text fild tìm kiếm ,các ô nhập liệu
và bảng bảo hành  khớp với dữ liệu hệ thống </t>
  </si>
  <si>
    <t>GUI_08</t>
  </si>
  <si>
    <t>font("time new roman" ,font,bold,17)
color(15,23,59)</t>
  </si>
  <si>
    <t>Hỗ trợ trực tuyến ,góp ý</t>
  </si>
  <si>
    <t>GUI_09</t>
  </si>
  <si>
    <t>B1: mở ứng dụng 
b2 : đăng nhập vào hệ thống 
b3 :chọn vào mục hỏi đáp ,góp ý
b4 : hiện ra giao diện  hỏi đáp góp ý</t>
  </si>
  <si>
    <t xml:space="preserve">Hiện ra giao diện "hỗ trợ trực tuyến" với nút  button "tìm kiếm","góp ý" 
và ô text fild tìm kiếm .
</t>
  </si>
  <si>
    <t>GUI_10</t>
  </si>
  <si>
    <t>Trang chủ bán hàng</t>
  </si>
  <si>
    <t>gui_11</t>
  </si>
  <si>
    <t>B1: mở ứng dụng 
b2 : truy cập vào trang bán hàng
b3 : hiện ra giao diện trang chủ bán hàng</t>
  </si>
  <si>
    <t>Hiện ra giao diện "trang chủ bán hàng " với nút  button tìm kiếm 
,so sánh sản phẩm,hỏi đáp ,thêm giỏ hàng , ô text filed tìm kiếm và 
list danh sách sản phẩm khớp với dữ liệu trên hệ thống cơ sở dữ liệu</t>
  </si>
  <si>
    <t>gui_12</t>
  </si>
  <si>
    <t>Gior hàng</t>
  </si>
  <si>
    <t>B1: mở ứng dụng 
b2 : đăng nhập vào hệ thống 
b3 :chọn vào mục  giỏ hàng
b4 : hiện ra giao diện giỏ hàng</t>
  </si>
  <si>
    <t>Hiện ra giao diện "giỏ hàng " với nút  button "thêm giỏ hàng " "cập nhật giỏ hàng " ,"
"xóa sản phẩm khỏi giỏ hàng ","tìm kiếm sản phẩm " ,"mua hàng "
,ô text filed  tìm kiếm và list danh sách sản phẩm trong giỏ hàng khớp với dữ 
liệu trên hệ thống</t>
  </si>
  <si>
    <t>Hiện ra giao diện "giỏ hàng " với nút  button "thêm giỏ hàng " "cập nhật giỏ hàng " ,"
"xóa sản phẩm khỏi giỏ hàng ","tìm kiếm sản phẩm " 
,ô text filed  tìm kiếm và list danh sách sản phẩm trong giỏ hàng khớp với dữ 
liệu trên hệ thống</t>
  </si>
  <si>
    <t>gui_13</t>
  </si>
  <si>
    <t>Thanh toán</t>
  </si>
  <si>
    <t>gui_14</t>
  </si>
  <si>
    <t>B1: mở ứng dụng 
b2 : đăng nhập vào hệ thống 
b3 :chọn vào mục thanh toán
b4 : hiện ra giao diện  thanh toán</t>
  </si>
  <si>
    <t xml:space="preserve">Hiện ra giao diện "thanh toán " với nút  button "thanh toán  ,chọn địa chỉ giao hàng ,
chọn phương thức thanh toán
và form thông tin đơn hàng khớp với dữ liệu trên hệ thống. </t>
  </si>
  <si>
    <t>gui_15</t>
  </si>
  <si>
    <t>thống kê Khách hàng</t>
  </si>
  <si>
    <t>gui_16</t>
  </si>
  <si>
    <t>"B1: mở ứng dụng 
b2 : đăng nhập vào hệ thống 
b3 :chọn vào mục thống kê
b4: chọn button thống kê khách hàng
b4 : hiện ra giao diện  thống kê khách hàng</t>
  </si>
  <si>
    <t xml:space="preserve">Hiện ra giao diện "thống kê khách hàng " với nút  button "tìm kiếm" " lọc" , xuất file "  
 ,ô text filed tìm kiếm,dữ liệu biểu đồ khớp với dữ liệu trên hệ thống </t>
  </si>
  <si>
    <t>gui_17</t>
  </si>
  <si>
    <t>Thống kê đơn hàng</t>
  </si>
  <si>
    <t>gui_18</t>
  </si>
  <si>
    <t>"B1: mở ứng dụng 
b2 : đăng nhập vào hệ thống 
b3 :chọn vào mục thống kê
b4: chọn button thống kê đơn hàng
b4 : hiện ra giao diện  thống kê đơn hàng</t>
  </si>
  <si>
    <t xml:space="preserve">Hiện ra giao diện "thống kê đơn hàng " với nút  button "tìm kiếm" " lọc" , xuất file "  
 ,ô text filed tìm kiếm,dữ liệu biểu đồ khớp với dữ liệu trên hệ thống </t>
  </si>
  <si>
    <t>gui_19</t>
  </si>
  <si>
    <t>Thống kê sản phẩm</t>
  </si>
  <si>
    <t>gui_20</t>
  </si>
  <si>
    <t>"B1: mở ứng dụng 
b2 : đăng nhập vào hệ thống 
b3 :chọn vào mục thống kê
b4: chọn button thống kê sản phẩm
b4 : hiện ra giao diện  thống kê sản phẩm</t>
  </si>
  <si>
    <t xml:space="preserve">Hiện ra giao diện "thống kê sản phẩm" với nút  button "tìm kiếm" " lọc" , xuất file "  
 ,ô text filed tìm kiếm,dữ liệu biểu đồ khớp với dữ liệu trên hệ thống </t>
  </si>
  <si>
    <t>gui_21</t>
  </si>
  <si>
    <t>Thống kê doanh số</t>
  </si>
  <si>
    <t>gui_22</t>
  </si>
  <si>
    <t>"B1: mở ứng dụng 
b2 : đăng nhập vào hệ thống 
b3 :chọn vào mục thống kê
b4: chọn button thống kê doanh số
b4 : hiện ra giao diện  thống kê doanh số</t>
  </si>
  <si>
    <t xml:space="preserve">Hiện ra giao diện "thống kê doanh thu " với nút  button "tìm kiếm" " lọc" , xuất file "  
 ,ô text filed tìm kiếm,dữ liệu biểu đồ khớp với dữ liệu trên hệ thống </t>
  </si>
  <si>
    <t>gui_23</t>
  </si>
  <si>
    <t>TEST REPORT</t>
  </si>
  <si>
    <t>NS_01_Test_Report_v1.0</t>
  </si>
  <si>
    <t>Notes</t>
  </si>
  <si>
    <t>Release 1 includes 12 modules:
1. Đăng nhập
2. Đăng ký
3. Đổi mật khẩu
4. Tra cứu sản phẩm
5. Quản lý giỏ hàng
6. Đặt hàng
7. Truy xuất nguồn gốc
8. Xử lý đơn hàng
9. Quản lý Kho
10. Quản lý Lô &amp; Nhật ký
11. Kiểm duyệt đánh giá
12. Xử lý Hoàn tiền</t>
  </si>
  <si>
    <t>1.Login-logout'!B5</t>
  </si>
  <si>
    <t>No</t>
  </si>
  <si>
    <t>Module code</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</si>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</sst>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
    <numFmt numFmtId="166" formatCode="D/M/YYYY"/>
  </numFmts>
  <fonts count="47">
    <font>
      <sz val="11.0"/>
      <color theme="1"/>
      <name val="Calibri"/>
      <scheme val="minor"/>
    </font>
    <font>
      <sz val="10.0"/>
      <color theme="1"/>
      <name val="Tahoma"/>
    </font>
    <font>
      <b/>
      <sz val="22.0"/>
      <color rgb="FFFF0000"/>
      <name val="Tahoma"/>
    </font>
    <font>
      <b/>
      <sz val="26.0"/>
      <color rgb="FFFF0000"/>
      <name val="Tahoma"/>
    </font>
    <font>
      <b/>
      <sz val="20.0"/>
      <color rgb="FF000000"/>
      <name val="Tahoma"/>
    </font>
    <font/>
    <font>
      <b/>
      <sz val="10.0"/>
      <color rgb="FF993300"/>
      <name val="Tahoma"/>
    </font>
    <font>
      <i/>
      <sz val="10.0"/>
      <color rgb="FF008000"/>
      <name val="Tahoma"/>
    </font>
    <font>
      <b/>
      <sz val="10.0"/>
      <color rgb="FFFFFFFF"/>
      <name val="Tahoma"/>
    </font>
    <font>
      <b/>
      <sz val="10.0"/>
      <color theme="1"/>
      <name val="Tahoma"/>
    </font>
    <font>
      <b/>
      <sz val="11.0"/>
      <color rgb="FF993300"/>
      <name val="Tahoma"/>
    </font>
    <font>
      <sz val="11.0"/>
      <color theme="1"/>
      <name val="Calibri"/>
    </font>
    <font>
      <sz val="11.0"/>
      <color theme="1"/>
      <name val="Tahoma"/>
    </font>
    <font>
      <color theme="1"/>
      <name val="Calibri"/>
      <scheme val="minor"/>
    </font>
    <font>
      <sz val="10.0"/>
      <color theme="1"/>
      <name val="Times New Roman"/>
    </font>
    <font>
      <b/>
      <sz val="20.0"/>
      <color rgb="FF000000"/>
      <name val="Times New Roman"/>
    </font>
    <font>
      <b/>
      <sz val="10.0"/>
      <color rgb="FFFF0000"/>
      <name val="Times New Roman"/>
    </font>
    <font>
      <b/>
      <sz val="10.0"/>
      <color rgb="FF993300"/>
      <name val="Times New Roman"/>
    </font>
    <font>
      <i/>
      <sz val="10.0"/>
      <color rgb="FF008000"/>
      <name val="Times New Roman"/>
    </font>
    <font>
      <sz val="11.0"/>
      <color theme="1"/>
      <name val="Times New Roman"/>
    </font>
    <font>
      <b/>
      <sz val="11.0"/>
      <color rgb="FF333F4F"/>
      <name val="Times New Roman"/>
    </font>
    <font>
      <sz val="11.0"/>
      <color rgb="FF333F4F"/>
      <name val="Times New Roman"/>
    </font>
    <font>
      <i/>
      <sz val="11.0"/>
      <color theme="1"/>
      <name val="Times New Roman"/>
    </font>
    <font>
      <sz val="11.0"/>
      <color theme="1"/>
      <name val="Google Sans"/>
    </font>
    <font>
      <b/>
      <sz val="10.0"/>
      <color rgb="FF000000"/>
      <name val="Tahoma"/>
    </font>
    <font>
      <b/>
      <sz val="10.0"/>
      <color rgb="FFFF0000"/>
      <name val="Tahoma"/>
    </font>
    <font>
      <u/>
      <sz val="11.0"/>
      <color theme="10"/>
      <name val="Calibri"/>
    </font>
    <font>
      <u/>
      <sz val="10.0"/>
      <color rgb="FF0000FF"/>
      <name val="Tahoma"/>
    </font>
    <font>
      <u/>
      <sz val="11.0"/>
      <color rgb="FF0000FF"/>
      <name val="Calibri"/>
    </font>
    <font>
      <b/>
      <sz val="11.0"/>
      <color theme="1"/>
      <name val="Tahoma"/>
    </font>
    <font>
      <i/>
      <sz val="11.0"/>
      <color rgb="FF008000"/>
      <name val="Tahoma"/>
    </font>
    <font>
      <b/>
      <sz val="11.0"/>
      <color rgb="FFFFFFFF"/>
      <name val="Tahoma"/>
    </font>
    <font>
      <b/>
      <sz val="12.0"/>
      <color rgb="FFFFFFFF"/>
      <name val="Tahoma"/>
    </font>
    <font>
      <u/>
      <sz val="11.0"/>
      <color theme="10"/>
      <name val="Calibri"/>
    </font>
    <font>
      <b/>
      <sz val="11.0"/>
      <color rgb="FF000000"/>
      <name val="Calibri"/>
    </font>
    <font>
      <sz val="11.0"/>
      <color rgb="FF000000"/>
      <name val="Calibri"/>
    </font>
    <font>
      <b/>
      <sz val="14.0"/>
      <color rgb="FFFFFFFF"/>
      <name val="Times New Roman"/>
    </font>
    <font>
      <sz val="12.0"/>
      <color theme="1"/>
      <name val="Times New Roman"/>
    </font>
    <font>
      <sz val="11.0"/>
      <color theme="1"/>
      <name val="Quattrocento Sans"/>
    </font>
    <font>
      <u/>
      <sz val="11.0"/>
      <color theme="10"/>
      <name val="Calibri"/>
    </font>
    <font>
      <sz val="11.0"/>
      <color rgb="FF0F1115"/>
      <name val="Quattrocento Sans"/>
    </font>
    <font>
      <sz val="10.0"/>
      <color rgb="FF0070C0"/>
      <name val="Tahoma"/>
    </font>
    <font>
      <b/>
      <sz val="10.0"/>
      <color theme="0"/>
      <name val="Tahoma"/>
    </font>
    <font>
      <sz val="10.0"/>
      <color rgb="FF000000"/>
      <name val="Tahoma"/>
    </font>
    <font>
      <sz val="11.0"/>
      <color rgb="FFFF0000"/>
      <name val="Calibri"/>
    </font>
    <font>
      <sz val="10.0"/>
      <color rgb="FFFFFFFF"/>
      <name val="Tahoma"/>
    </font>
    <font>
      <b/>
      <sz val="10.0"/>
      <color rgb="FF0000FF"/>
      <name val="Tahoma"/>
    </font>
  </fonts>
  <fills count="12">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C5E0B3"/>
        <bgColor rgb="FFC5E0B3"/>
      </patternFill>
    </fill>
    <fill>
      <patternFill patternType="solid">
        <fgColor theme="0"/>
        <bgColor theme="0"/>
      </patternFill>
    </fill>
    <fill>
      <patternFill patternType="solid">
        <fgColor rgb="FFFFFF00"/>
        <bgColor rgb="FFFFFF00"/>
      </patternFill>
    </fill>
    <fill>
      <patternFill patternType="solid">
        <fgColor rgb="FF333399"/>
        <bgColor rgb="FF333399"/>
      </patternFill>
    </fill>
    <fill>
      <patternFill patternType="solid">
        <fgColor rgb="FFC00000"/>
        <bgColor rgb="FFC00000"/>
      </patternFill>
    </fill>
    <fill>
      <patternFill patternType="solid">
        <fgColor rgb="FF9CC2E5"/>
        <bgColor rgb="FF9CC2E5"/>
      </patternFill>
    </fill>
    <fill>
      <patternFill patternType="solid">
        <fgColor rgb="FFCCFFFF"/>
        <bgColor rgb="FFCCFFFF"/>
      </patternFill>
    </fill>
    <fill>
      <patternFill patternType="solid">
        <fgColor rgb="FF1E4E79"/>
        <bgColor rgb="FF1E4E79"/>
      </patternFill>
    </fill>
  </fills>
  <borders count="10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top style="thin">
        <color rgb="FF000000"/>
      </top>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bottom/>
    </border>
    <border>
      <right style="thin">
        <color rgb="FF000000"/>
      </right>
    </border>
    <border>
      <left style="thin">
        <color rgb="FF000000"/>
      </left>
      <right style="thin">
        <color rgb="FF000000"/>
      </right>
      <top/>
      <bottom/>
    </border>
    <border>
      <left style="thin">
        <color rgb="FF000000"/>
      </left>
      <right/>
      <top/>
      <bottom/>
    </border>
    <border>
      <left style="thin">
        <color rgb="FFFF0000"/>
      </left>
      <right style="thin">
        <color rgb="FFFF0000"/>
      </right>
      <top style="thin">
        <color rgb="FFFF0000"/>
      </top>
    </border>
    <border>
      <left/>
      <right/>
      <top style="thin">
        <color rgb="FFFF0000"/>
      </top>
    </border>
    <border>
      <left style="thin">
        <color rgb="FFFF0000"/>
      </left>
      <right style="thin">
        <color rgb="FFFF0000"/>
      </right>
      <top style="thin">
        <color rgb="FFFF0000"/>
      </top>
      <bottom style="thin">
        <color rgb="FF000000"/>
      </bottom>
    </border>
    <border>
      <left style="thin">
        <color rgb="FFFF0000"/>
      </left>
      <right style="thin">
        <color rgb="FFFF0000"/>
      </right>
    </border>
    <border>
      <left/>
      <right/>
      <bottom style="thin">
        <color rgb="FF000000"/>
      </bottom>
    </border>
    <border>
      <left style="thin">
        <color rgb="FFFF0000"/>
      </left>
      <right style="thin">
        <color rgb="FFFF0000"/>
      </right>
      <top style="thin">
        <color rgb="FF000000"/>
      </top>
      <bottom style="thin">
        <color rgb="FF000000"/>
      </bottom>
    </border>
    <border>
      <left/>
      <right/>
      <top style="thin">
        <color rgb="FF000000"/>
      </top>
    </border>
    <border>
      <left style="thin">
        <color rgb="FFFF0000"/>
      </left>
      <right style="thin">
        <color rgb="FFFF0000"/>
      </right>
      <bottom/>
    </border>
    <border>
      <left/>
      <right/>
      <bottom/>
    </border>
    <border>
      <left style="thin">
        <color rgb="FFFF0000"/>
      </left>
      <right style="thin">
        <color rgb="FFFF0000"/>
      </right>
      <top style="thin">
        <color rgb="FF000000"/>
      </top>
    </border>
    <border>
      <left/>
      <right/>
      <top style="thin">
        <color rgb="FF00B050"/>
      </top>
    </border>
    <border>
      <left style="thin">
        <color rgb="FF00B050"/>
      </left>
      <right style="thin">
        <color rgb="FF00B050"/>
      </right>
      <top style="thin">
        <color rgb="FF00B050"/>
      </top>
      <bottom style="thin">
        <color rgb="FF000000"/>
      </bottom>
    </border>
    <border>
      <left style="thin">
        <color rgb="FF000000"/>
      </left>
      <right style="thin">
        <color rgb="FF000000"/>
      </right>
    </border>
    <border>
      <left style="thin">
        <color rgb="FF00B050"/>
      </left>
      <right style="thin">
        <color rgb="FF00B050"/>
      </right>
      <top style="thin">
        <color rgb="FF000000"/>
      </top>
      <bottom style="thin">
        <color rgb="FF000000"/>
      </bottom>
    </border>
    <border>
      <left style="thin">
        <color rgb="FF00B050"/>
      </left>
      <right style="thin">
        <color rgb="FF00B050"/>
      </right>
      <top style="thin">
        <color rgb="FF000000"/>
      </top>
    </border>
    <border>
      <left style="thin">
        <color rgb="FF00B0F0"/>
      </left>
      <right style="thin">
        <color rgb="FF00B0F0"/>
      </right>
    </border>
    <border>
      <top style="thin">
        <color rgb="FF00B0F0"/>
      </top>
    </border>
    <border>
      <left style="thin">
        <color rgb="FF0070C0"/>
      </left>
      <right style="thin">
        <color rgb="FF0070C0"/>
      </right>
      <top style="thin">
        <color rgb="FF0070C0"/>
      </top>
      <bottom style="thin">
        <color rgb="FF000000"/>
      </bottom>
    </border>
    <border>
      <left style="thin">
        <color rgb="FF0070C0"/>
      </left>
      <right style="thin">
        <color rgb="FF0070C0"/>
      </right>
      <top style="thin">
        <color rgb="FF000000"/>
      </top>
      <bottom style="thin">
        <color rgb="FF000000"/>
      </bottom>
    </border>
    <border>
      <left style="thin">
        <color rgb="FF00B0F0"/>
      </left>
      <right style="thin">
        <color rgb="FF00B0F0"/>
      </right>
      <bottom style="thin">
        <color rgb="FF00B0F0"/>
      </bottom>
    </border>
    <border>
      <bottom style="thin">
        <color rgb="FF00B0F0"/>
      </bottom>
    </border>
    <border>
      <left style="thin">
        <color rgb="FF0070C0"/>
      </left>
      <right style="thin">
        <color rgb="FF0070C0"/>
      </right>
      <top style="thin">
        <color rgb="FF000000"/>
      </top>
      <bottom style="thin">
        <color rgb="FF0070C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style="thin">
        <color rgb="FF000000"/>
      </bottom>
    </border>
    <border>
      <left/>
      <right style="medium">
        <color rgb="FF000000"/>
      </right>
      <top/>
      <bottom style="thin">
        <color rgb="FF000000"/>
      </bottom>
    </border>
    <border>
      <left style="medium">
        <color rgb="FF000000"/>
      </left>
      <right style="thin">
        <color rgb="FF000000"/>
      </right>
      <top/>
      <bottom style="thin">
        <color rgb="FF000000"/>
      </bottom>
    </border>
    <border>
      <right style="medium">
        <color rgb="FF000000"/>
      </right>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right style="thin">
        <color rgb="FF000000"/>
      </right>
      <top/>
      <bottom style="thin">
        <color rgb="FF000000"/>
      </bottom>
    </border>
    <border>
      <right style="thin">
        <color rgb="FF000000"/>
      </right>
      <top/>
      <bottom style="thin">
        <color rgb="FF000000"/>
      </bottom>
    </border>
    <border>
      <left style="medium">
        <color rgb="FF000000"/>
      </left>
      <right style="thin">
        <color rgb="FF000000"/>
      </right>
      <top/>
      <bottom style="medium">
        <color rgb="FF000000"/>
      </bottom>
    </border>
    <border>
      <left/>
      <right style="thin">
        <color rgb="FF000000"/>
      </right>
      <top/>
      <bottom style="medium">
        <color rgb="FF000000"/>
      </bottom>
    </border>
    <border>
      <left/>
      <top/>
      <bottom style="medium">
        <color rgb="FF000000"/>
      </bottom>
    </border>
    <border>
      <right style="thin">
        <color rgb="FF000000"/>
      </right>
      <top/>
      <bottom style="medium">
        <color rgb="FF000000"/>
      </bottom>
    </border>
    <border>
      <top/>
      <bottom style="medium">
        <color rgb="FF000000"/>
      </bottom>
    </border>
    <border>
      <right style="medium">
        <color rgb="FF000000"/>
      </right>
      <top/>
      <bottom style="medium">
        <color rgb="FF000000"/>
      </bottom>
    </border>
    <border>
      <left style="thin">
        <color rgb="FF000000"/>
      </left>
      <right/>
      <top/>
      <bottom style="thin">
        <color rgb="FF000000"/>
      </bottom>
    </border>
    <border>
      <left/>
      <right style="thin">
        <color rgb="FF000000"/>
      </right>
      <top/>
    </border>
    <border>
      <left/>
      <right style="thin">
        <color rgb="FF000000"/>
      </right>
    </border>
    <border>
      <left/>
      <right style="thin">
        <color rgb="FF000000"/>
      </right>
      <bottom style="thin">
        <color rgb="FF000000"/>
      </bottom>
    </border>
    <border>
      <left style="thin">
        <color rgb="FF000000"/>
      </left>
      <right style="thin">
        <color rgb="FF000000"/>
      </right>
      <bottom/>
    </border>
    <border>
      <left style="thin">
        <color rgb="FF000000"/>
      </left>
      <right style="thin">
        <color rgb="FF000000"/>
      </right>
      <top/>
    </border>
    <border>
      <left/>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top style="thin">
        <color rgb="FF000000"/>
      </top>
      <bottom/>
    </border>
    <border>
      <left/>
      <right style="thin">
        <color rgb="FF000000"/>
      </right>
      <top style="thin">
        <color rgb="FF000000"/>
      </top>
      <bottom/>
    </border>
    <border>
      <left style="thin">
        <color rgb="FF000000"/>
      </left>
      <top/>
      <bottom/>
    </border>
    <border>
      <top/>
      <bottom/>
    </border>
    <border>
      <right/>
      <top/>
      <bottom/>
    </border>
    <border>
      <left/>
      <top/>
      <bottom/>
    </border>
    <border>
      <left/>
      <right/>
      <top/>
    </border>
    <border>
      <left/>
      <right style="hair">
        <color rgb="FF000000"/>
      </right>
      <top/>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right style="hair">
        <color rgb="FF000000"/>
      </right>
      <bottom/>
    </border>
    <border>
      <left style="hair">
        <color rgb="FF000000"/>
      </left>
      <right style="hair">
        <color rgb="FF000000"/>
      </right>
      <top/>
      <bottom/>
    </border>
    <border>
      <left style="hair">
        <color rgb="FF000000"/>
      </left>
      <right style="hair">
        <color rgb="FF000000"/>
      </right>
      <top/>
      <bottom style="hair">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border>
    <border>
      <left style="hair">
        <color rgb="FF000000"/>
      </left>
      <right style="hair">
        <color rgb="FF000000"/>
      </right>
      <top style="hair">
        <color rgb="FF000000"/>
      </top>
      <bottom/>
    </border>
    <border>
      <left style="hair">
        <color rgb="FF000000"/>
      </left>
      <right/>
      <top style="hair">
        <color rgb="FF000000"/>
      </top>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2" fontId="2" numFmtId="0" xfId="0" applyAlignment="1" applyBorder="1" applyFill="1" applyFont="1">
      <alignment horizontal="center" vertical="center"/>
    </xf>
    <xf borderId="2" fillId="0" fontId="3" numFmtId="0" xfId="0" applyAlignment="1" applyBorder="1" applyFont="1">
      <alignment horizontal="center" vertical="center"/>
    </xf>
    <xf borderId="2" fillId="0" fontId="4" numFmtId="0" xfId="0" applyAlignment="1" applyBorder="1" applyFont="1">
      <alignment horizontal="center" vertical="center"/>
    </xf>
    <xf borderId="3" fillId="0" fontId="5" numFmtId="0" xfId="0" applyBorder="1" applyFont="1"/>
    <xf borderId="4" fillId="0" fontId="5" numFmtId="0" xfId="0" applyBorder="1" applyFont="1"/>
    <xf borderId="0" fillId="0" fontId="1" numFmtId="0" xfId="0" applyAlignment="1" applyFont="1">
      <alignment horizontal="center" vertical="center"/>
    </xf>
    <xf borderId="1" fillId="2" fontId="6" numFmtId="0" xfId="0" applyAlignment="1" applyBorder="1" applyFont="1">
      <alignment horizontal="left"/>
    </xf>
    <xf borderId="0" fillId="0" fontId="7" numFmtId="0" xfId="0" applyAlignment="1" applyFont="1">
      <alignment horizontal="left"/>
    </xf>
    <xf borderId="1" fillId="2" fontId="1" numFmtId="0" xfId="0" applyBorder="1" applyFont="1"/>
    <xf borderId="5" fillId="2" fontId="6" numFmtId="0" xfId="0" applyAlignment="1" applyBorder="1" applyFont="1">
      <alignment horizontal="left"/>
    </xf>
    <xf borderId="2" fillId="0" fontId="7" numFmtId="0" xfId="0" applyAlignment="1" applyBorder="1" applyFont="1">
      <alignment horizontal="left" shrinkToFit="0" wrapText="1"/>
    </xf>
    <xf borderId="4" fillId="0" fontId="1" numFmtId="0" xfId="0" applyBorder="1" applyFont="1"/>
    <xf borderId="2" fillId="0" fontId="7" numFmtId="0" xfId="0" applyAlignment="1" applyBorder="1" applyFont="1">
      <alignment horizontal="left"/>
    </xf>
    <xf borderId="6" fillId="2" fontId="6" numFmtId="0" xfId="0" applyAlignment="1" applyBorder="1" applyFont="1">
      <alignment horizontal="left" vertical="center"/>
    </xf>
    <xf borderId="7" fillId="0" fontId="7" numFmtId="0" xfId="0" applyAlignment="1" applyBorder="1" applyFont="1">
      <alignment horizontal="left" vertical="center"/>
    </xf>
    <xf borderId="8" fillId="0" fontId="5" numFmtId="0" xfId="0" applyBorder="1" applyFont="1"/>
    <xf borderId="9" fillId="0" fontId="5" numFmtId="0" xfId="0" applyBorder="1" applyFont="1"/>
    <xf borderId="4" fillId="0" fontId="7" numFmtId="164" xfId="0" applyAlignment="1" applyBorder="1" applyFont="1" applyNumberFormat="1">
      <alignment horizontal="left"/>
    </xf>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4" fillId="0" fontId="7" numFmtId="165" xfId="0" applyAlignment="1" applyBorder="1" applyFont="1" applyNumberFormat="1">
      <alignment horizontal="left"/>
    </xf>
    <xf borderId="1" fillId="2" fontId="6" numFmtId="0" xfId="0" applyBorder="1" applyFont="1"/>
    <xf borderId="0" fillId="0" fontId="6" numFmtId="0" xfId="0" applyAlignment="1" applyFont="1">
      <alignment horizontal="left"/>
    </xf>
    <xf borderId="0" fillId="0" fontId="1" numFmtId="0" xfId="0" applyAlignment="1" applyFont="1">
      <alignment vertical="center"/>
    </xf>
    <xf borderId="14" fillId="3" fontId="8" numFmtId="15" xfId="0" applyAlignment="1" applyBorder="1" applyFill="1" applyFont="1" applyNumberFormat="1">
      <alignment horizontal="center" vertical="center"/>
    </xf>
    <xf borderId="15" fillId="3" fontId="8" numFmtId="0" xfId="0" applyAlignment="1" applyBorder="1" applyFont="1">
      <alignment horizontal="center" vertical="center"/>
    </xf>
    <xf borderId="16" fillId="3" fontId="8" numFmtId="0" xfId="0" applyAlignment="1" applyBorder="1" applyFont="1">
      <alignment horizontal="center" vertical="center"/>
    </xf>
    <xf borderId="0" fillId="0" fontId="1" numFmtId="0" xfId="0" applyAlignment="1" applyFont="1">
      <alignment vertical="top"/>
    </xf>
    <xf borderId="17" fillId="0" fontId="7" numFmtId="164" xfId="0" applyAlignment="1" applyBorder="1" applyFont="1" applyNumberFormat="1">
      <alignment shrinkToFit="0" vertical="top" wrapText="1"/>
    </xf>
    <xf borderId="18" fillId="0" fontId="1" numFmtId="49" xfId="0" applyAlignment="1" applyBorder="1" applyFont="1" applyNumberFormat="1">
      <alignment vertical="top"/>
    </xf>
    <xf borderId="18" fillId="0" fontId="1" numFmtId="0" xfId="0" applyAlignment="1" applyBorder="1" applyFont="1">
      <alignment vertical="top"/>
    </xf>
    <xf borderId="18" fillId="0" fontId="1" numFmtId="15" xfId="0" applyAlignment="1" applyBorder="1" applyFont="1" applyNumberFormat="1">
      <alignment vertical="top"/>
    </xf>
    <xf borderId="19" fillId="0" fontId="7" numFmtId="0" xfId="0" applyAlignment="1" applyBorder="1" applyFont="1">
      <alignment shrinkToFit="0" vertical="top" wrapText="1"/>
    </xf>
    <xf quotePrefix="1" borderId="19" fillId="0" fontId="7" numFmtId="0" xfId="0" applyAlignment="1" applyBorder="1" applyFont="1">
      <alignment shrinkToFit="0" vertical="top" wrapText="1"/>
    </xf>
    <xf borderId="0" fillId="0" fontId="9" numFmtId="0" xfId="0" applyAlignment="1" applyFont="1">
      <alignment horizontal="left"/>
    </xf>
    <xf borderId="5" fillId="4" fontId="10" numFmtId="0" xfId="0" applyAlignment="1" applyBorder="1" applyFill="1" applyFont="1">
      <alignment horizontal="left"/>
    </xf>
    <xf borderId="20" fillId="4" fontId="10" numFmtId="0" xfId="0" applyAlignment="1" applyBorder="1" applyFont="1">
      <alignment horizontal="center" vertical="center"/>
    </xf>
    <xf borderId="5" fillId="4" fontId="10" numFmtId="0" xfId="0" applyAlignment="1" applyBorder="1" applyFont="1">
      <alignment horizontal="center" vertical="center"/>
    </xf>
    <xf borderId="9" fillId="0" fontId="11" numFmtId="0" xfId="0" applyAlignment="1" applyBorder="1" applyFont="1">
      <alignment vertical="top"/>
    </xf>
    <xf borderId="5" fillId="5" fontId="10" numFmtId="0" xfId="0" applyBorder="1" applyFill="1" applyFont="1"/>
    <xf borderId="0" fillId="0" fontId="12" numFmtId="0" xfId="0" applyFont="1"/>
    <xf borderId="21" fillId="2" fontId="10" numFmtId="0" xfId="0" applyAlignment="1" applyBorder="1" applyFont="1">
      <alignment horizontal="left"/>
    </xf>
    <xf borderId="5" fillId="2" fontId="10" numFmtId="0" xfId="0" applyAlignment="1" applyBorder="1" applyFont="1">
      <alignment horizontal="center" vertical="center"/>
    </xf>
    <xf borderId="5" fillId="0" fontId="11" numFmtId="0" xfId="0" applyAlignment="1" applyBorder="1" applyFont="1">
      <alignment readingOrder="0" vertical="top"/>
    </xf>
    <xf borderId="5" fillId="0" fontId="11" numFmtId="0" xfId="0" applyAlignment="1" applyBorder="1" applyFont="1">
      <alignment vertical="top"/>
    </xf>
    <xf borderId="4" fillId="0" fontId="12" numFmtId="0" xfId="0" applyBorder="1" applyFont="1"/>
    <xf borderId="0" fillId="0" fontId="13" numFmtId="0" xfId="0" applyAlignment="1" applyFont="1">
      <alignment readingOrder="0"/>
    </xf>
    <xf borderId="5" fillId="2" fontId="10" numFmtId="0" xfId="0" applyAlignment="1" applyBorder="1" applyFont="1">
      <alignment horizontal="left" vertical="top"/>
    </xf>
    <xf borderId="5" fillId="2" fontId="12" numFmtId="0" xfId="0" applyAlignment="1" applyBorder="1" applyFont="1">
      <alignment horizontal="left" readingOrder="0" vertical="top"/>
    </xf>
    <xf borderId="5" fillId="0" fontId="10" numFmtId="0" xfId="0" applyAlignment="1" applyBorder="1" applyFont="1">
      <alignment vertical="top"/>
    </xf>
    <xf borderId="5" fillId="0" fontId="10" numFmtId="0" xfId="0" applyAlignment="1" applyBorder="1" applyFont="1">
      <alignment horizontal="center" vertical="center"/>
    </xf>
    <xf borderId="0" fillId="0" fontId="11" numFmtId="0" xfId="0" applyFont="1"/>
    <xf borderId="1" fillId="2" fontId="14" numFmtId="1" xfId="0" applyBorder="1" applyFont="1" applyNumberFormat="1"/>
    <xf borderId="1" fillId="2" fontId="14" numFmtId="0" xfId="0" applyAlignment="1" applyBorder="1" applyFont="1">
      <alignment horizontal="left"/>
    </xf>
    <xf borderId="1" fillId="2" fontId="15" numFmtId="0" xfId="0" applyAlignment="1" applyBorder="1" applyFont="1">
      <alignment horizontal="left"/>
    </xf>
    <xf borderId="1" fillId="2" fontId="14" numFmtId="0" xfId="0" applyBorder="1" applyFont="1"/>
    <xf borderId="1" fillId="2" fontId="16" numFmtId="0" xfId="0" applyAlignment="1" applyBorder="1" applyFont="1">
      <alignment horizontal="left"/>
    </xf>
    <xf borderId="20" fillId="2" fontId="17" numFmtId="1" xfId="0" applyBorder="1" applyFont="1" applyNumberFormat="1"/>
    <xf borderId="22" fillId="2" fontId="18" numFmtId="0" xfId="0" applyAlignment="1" applyBorder="1" applyFont="1">
      <alignment horizontal="left"/>
    </xf>
    <xf borderId="5" fillId="2" fontId="17" numFmtId="1" xfId="0" applyBorder="1" applyFont="1" applyNumberFormat="1"/>
    <xf borderId="5" fillId="2" fontId="18" numFmtId="0" xfId="0" applyAlignment="1" applyBorder="1" applyFont="1">
      <alignment horizontal="left"/>
    </xf>
    <xf borderId="1" fillId="2" fontId="17" numFmtId="1" xfId="0" applyAlignment="1" applyBorder="1" applyFont="1" applyNumberFormat="1">
      <alignment shrinkToFit="0" vertical="center" wrapText="1"/>
    </xf>
    <xf borderId="23" fillId="2" fontId="18" numFmtId="0" xfId="0" applyAlignment="1" applyBorder="1" applyFont="1">
      <alignment shrinkToFit="0" vertical="top" wrapText="1"/>
    </xf>
    <xf borderId="1" fillId="2" fontId="14" numFmtId="0" xfId="0" applyAlignment="1" applyBorder="1" applyFont="1">
      <alignment shrinkToFit="0" wrapText="1"/>
    </xf>
    <xf borderId="0" fillId="0" fontId="19" numFmtId="0" xfId="0" applyFont="1"/>
    <xf borderId="24" fillId="0" fontId="19" numFmtId="0" xfId="0" applyBorder="1" applyFont="1"/>
    <xf borderId="25" fillId="5" fontId="20" numFmtId="0" xfId="0" applyAlignment="1" applyBorder="1" applyFont="1">
      <alignment horizontal="center" vertical="center"/>
    </xf>
    <xf borderId="26" fillId="5" fontId="20" numFmtId="0" xfId="0" applyAlignment="1" applyBorder="1" applyFont="1">
      <alignment horizontal="center" vertical="center"/>
    </xf>
    <xf borderId="27" fillId="5" fontId="20" numFmtId="0" xfId="0" applyAlignment="1" applyBorder="1" applyFont="1">
      <alignment horizontal="center" vertical="center"/>
    </xf>
    <xf borderId="28" fillId="5" fontId="21" numFmtId="0" xfId="0" applyAlignment="1" applyBorder="1" applyFont="1">
      <alignment vertical="center"/>
    </xf>
    <xf borderId="29" fillId="6" fontId="19" numFmtId="0" xfId="0" applyBorder="1" applyFill="1" applyFont="1"/>
    <xf borderId="30" fillId="0" fontId="5" numFmtId="0" xfId="0" applyBorder="1" applyFont="1"/>
    <xf borderId="31" fillId="0" fontId="5" numFmtId="0" xfId="0" applyBorder="1" applyFont="1"/>
    <xf borderId="32" fillId="0" fontId="19" numFmtId="0" xfId="0" applyBorder="1" applyFont="1"/>
    <xf borderId="33" fillId="5" fontId="21" numFmtId="0" xfId="0" applyAlignment="1" applyBorder="1" applyFont="1">
      <alignment vertical="center"/>
    </xf>
    <xf borderId="32" fillId="6" fontId="11" numFmtId="0" xfId="0" applyBorder="1" applyFont="1"/>
    <xf borderId="32" fillId="0" fontId="11" numFmtId="0" xfId="0" applyBorder="1" applyFont="1"/>
    <xf borderId="32" fillId="6" fontId="19" numFmtId="0" xfId="0" applyBorder="1" applyFont="1"/>
    <xf borderId="32" fillId="0" fontId="19" numFmtId="0" xfId="0" applyAlignment="1" applyBorder="1" applyFont="1">
      <alignment horizontal="left"/>
    </xf>
    <xf borderId="0" fillId="0" fontId="22" numFmtId="0" xfId="0" applyFont="1"/>
    <xf borderId="33" fillId="5" fontId="21" numFmtId="0" xfId="0" applyAlignment="1" applyBorder="1" applyFont="1">
      <alignment horizontal="left" vertical="center"/>
    </xf>
    <xf borderId="34" fillId="0" fontId="5" numFmtId="0" xfId="0" applyBorder="1" applyFont="1"/>
    <xf borderId="35" fillId="0" fontId="5" numFmtId="0" xfId="0" applyBorder="1" applyFont="1"/>
    <xf borderId="36" fillId="0" fontId="19" numFmtId="0" xfId="0" applyBorder="1" applyFont="1"/>
    <xf borderId="6" fillId="0" fontId="11" numFmtId="0" xfId="0" applyAlignment="1" applyBorder="1" applyFont="1">
      <alignment horizontal="center" vertical="center"/>
    </xf>
    <xf borderId="37" fillId="5" fontId="21" numFmtId="0" xfId="0" applyAlignment="1" applyBorder="1" applyFont="1">
      <alignment horizontal="left" vertical="center"/>
    </xf>
    <xf borderId="38" fillId="6" fontId="11" numFmtId="0" xfId="0" applyBorder="1" applyFont="1"/>
    <xf borderId="39" fillId="0" fontId="5" numFmtId="0" xfId="0" applyBorder="1" applyFont="1"/>
    <xf borderId="40" fillId="0" fontId="11" numFmtId="0" xfId="0" applyBorder="1" applyFont="1"/>
    <xf borderId="40" fillId="6" fontId="19" numFmtId="0" xfId="0" applyBorder="1" applyFont="1"/>
    <xf borderId="40" fillId="0" fontId="23" numFmtId="0" xfId="0" applyBorder="1" applyFont="1"/>
    <xf borderId="40" fillId="6" fontId="11" numFmtId="0" xfId="0" applyBorder="1" applyFont="1"/>
    <xf borderId="41" fillId="0" fontId="11" numFmtId="0" xfId="0" applyBorder="1" applyFont="1"/>
    <xf borderId="8" fillId="0" fontId="19" numFmtId="0" xfId="0" applyAlignment="1" applyBorder="1" applyFont="1">
      <alignment vertical="center"/>
    </xf>
    <xf borderId="42" fillId="0" fontId="11" numFmtId="0" xfId="0" applyAlignment="1" applyBorder="1" applyFont="1">
      <alignment horizontal="center" vertical="center"/>
    </xf>
    <xf borderId="43" fillId="0" fontId="19" numFmtId="0" xfId="0" applyAlignment="1" applyBorder="1" applyFont="1">
      <alignment vertical="center"/>
    </xf>
    <xf borderId="44" fillId="6" fontId="19" numFmtId="0" xfId="0" applyBorder="1" applyFont="1"/>
    <xf borderId="42" fillId="0" fontId="5" numFmtId="0" xfId="0" applyBorder="1" applyFont="1"/>
    <xf borderId="45" fillId="0" fontId="11" numFmtId="0" xfId="0" applyBorder="1" applyFont="1"/>
    <xf borderId="45" fillId="6" fontId="19" numFmtId="0" xfId="0" applyBorder="1" applyFont="1"/>
    <xf borderId="45" fillId="0" fontId="19" numFmtId="0" xfId="0" applyBorder="1" applyFont="1"/>
    <xf borderId="45" fillId="6" fontId="11" numFmtId="0" xfId="0" applyBorder="1" applyFont="1"/>
    <xf borderId="45" fillId="6" fontId="23" numFmtId="0" xfId="0" applyBorder="1" applyFont="1"/>
    <xf borderId="46" fillId="0" fontId="5" numFmtId="0" xfId="0" applyBorder="1" applyFont="1"/>
    <xf borderId="47" fillId="0" fontId="5" numFmtId="0" xfId="0" applyBorder="1" applyFont="1"/>
    <xf borderId="48" fillId="0" fontId="11" numFmtId="0" xfId="0" applyBorder="1" applyFont="1"/>
    <xf borderId="1" fillId="5" fontId="19" numFmtId="0" xfId="0" applyBorder="1" applyFont="1"/>
    <xf borderId="1" fillId="2" fontId="1" numFmtId="1" xfId="0" applyBorder="1" applyFont="1" applyNumberFormat="1"/>
    <xf borderId="1" fillId="2" fontId="1" numFmtId="0" xfId="0" applyAlignment="1" applyBorder="1" applyFont="1">
      <alignment horizontal="left"/>
    </xf>
    <xf borderId="1" fillId="2" fontId="4" numFmtId="0" xfId="0" applyAlignment="1" applyBorder="1" applyFont="1">
      <alignment horizontal="left"/>
    </xf>
    <xf borderId="1" fillId="2" fontId="24" numFmtId="0" xfId="0" applyAlignment="1" applyBorder="1" applyFont="1">
      <alignment horizontal="left"/>
    </xf>
    <xf borderId="1" fillId="2" fontId="25" numFmtId="0" xfId="0" applyAlignment="1" applyBorder="1" applyFont="1">
      <alignment horizontal="left"/>
    </xf>
    <xf borderId="2" fillId="2" fontId="6" numFmtId="1" xfId="0" applyBorder="1" applyFont="1" applyNumberFormat="1"/>
    <xf borderId="49" fillId="0" fontId="5" numFmtId="0" xfId="0" applyBorder="1" applyFont="1"/>
    <xf borderId="2" fillId="2" fontId="7" numFmtId="0" xfId="0" applyAlignment="1" applyBorder="1" applyFont="1">
      <alignment horizontal="left"/>
    </xf>
    <xf borderId="1" fillId="2" fontId="1" numFmtId="0" xfId="0" applyAlignment="1" applyBorder="1" applyFont="1">
      <alignment shrinkToFit="0" wrapText="1"/>
    </xf>
    <xf borderId="2" fillId="2" fontId="6" numFmtId="1" xfId="0" applyAlignment="1" applyBorder="1" applyFont="1" applyNumberFormat="1">
      <alignment shrinkToFit="0" vertical="center" wrapText="1"/>
    </xf>
    <xf borderId="2" fillId="2" fontId="7" numFmtId="0" xfId="0" applyAlignment="1" applyBorder="1" applyFont="1">
      <alignment shrinkToFit="0" vertical="top" wrapText="1"/>
    </xf>
    <xf borderId="1" fillId="2" fontId="6" numFmtId="1" xfId="0" applyBorder="1" applyFont="1" applyNumberFormat="1"/>
    <xf borderId="1" fillId="2" fontId="1" numFmtId="0" xfId="0" applyAlignment="1" applyBorder="1" applyFont="1">
      <alignment vertical="center"/>
    </xf>
    <xf borderId="1" fillId="2" fontId="1" numFmtId="1" xfId="0" applyAlignment="1" applyBorder="1" applyFont="1" applyNumberFormat="1">
      <alignment vertical="center"/>
    </xf>
    <xf borderId="1" fillId="2" fontId="1" numFmtId="0" xfId="0" applyAlignment="1" applyBorder="1" applyFont="1">
      <alignment horizontal="left" vertical="center"/>
    </xf>
    <xf borderId="1" fillId="2" fontId="9" numFmtId="0" xfId="0" applyAlignment="1" applyBorder="1" applyFont="1">
      <alignment horizontal="center"/>
    </xf>
    <xf borderId="5" fillId="7" fontId="8" numFmtId="1" xfId="0" applyAlignment="1" applyBorder="1" applyFill="1" applyFont="1" applyNumberFormat="1">
      <alignment horizontal="center" vertical="center"/>
    </xf>
    <xf borderId="21" fillId="7" fontId="8" numFmtId="0" xfId="0" applyAlignment="1" applyBorder="1" applyFont="1">
      <alignment horizontal="center" vertical="center"/>
    </xf>
    <xf borderId="5" fillId="7" fontId="8" numFmtId="0" xfId="0" applyAlignment="1" applyBorder="1" applyFont="1">
      <alignment horizontal="left" vertical="top"/>
    </xf>
    <xf borderId="50" fillId="7" fontId="8" numFmtId="0" xfId="0" applyAlignment="1" applyBorder="1" applyFont="1">
      <alignment horizontal="center" vertical="center"/>
    </xf>
    <xf borderId="5" fillId="7" fontId="8" numFmtId="0" xfId="0" applyAlignment="1" applyBorder="1" applyFont="1">
      <alignment horizontal="center" vertical="center"/>
    </xf>
    <xf borderId="5" fillId="2" fontId="1" numFmtId="1" xfId="0" applyAlignment="1" applyBorder="1" applyFont="1" applyNumberFormat="1">
      <alignment vertical="center"/>
    </xf>
    <xf borderId="21" fillId="2" fontId="1" numFmtId="49" xfId="0" applyAlignment="1" applyBorder="1" applyFont="1" applyNumberFormat="1">
      <alignment horizontal="left" vertical="center"/>
    </xf>
    <xf quotePrefix="1" borderId="5" fillId="2" fontId="26" numFmtId="0" xfId="0" applyAlignment="1" applyBorder="1" applyFont="1">
      <alignment horizontal="left" vertical="top"/>
    </xf>
    <xf borderId="50" fillId="2" fontId="27" numFmtId="0" xfId="0" applyAlignment="1" applyBorder="1" applyFont="1">
      <alignment horizontal="left" vertical="center"/>
    </xf>
    <xf borderId="5" fillId="2" fontId="1" numFmtId="0" xfId="0" applyAlignment="1" applyBorder="1" applyFont="1">
      <alignment horizontal="left" vertical="center"/>
    </xf>
    <xf borderId="5" fillId="2" fontId="28" numFmtId="0" xfId="0" applyAlignment="1" applyBorder="1" applyFont="1">
      <alignment horizontal="left" vertical="top"/>
    </xf>
    <xf borderId="5" fillId="0" fontId="11" numFmtId="0" xfId="0" applyAlignment="1" applyBorder="1" applyFont="1">
      <alignment horizontal="left" vertical="top"/>
    </xf>
    <xf borderId="0" fillId="0" fontId="13" numFmtId="0" xfId="0" applyFont="1"/>
    <xf borderId="5" fillId="2" fontId="1" numFmtId="0" xfId="0" applyAlignment="1" applyBorder="1" applyFont="1">
      <alignment horizontal="left" shrinkToFit="0" vertical="center" wrapText="1"/>
    </xf>
    <xf borderId="50" fillId="2" fontId="1" numFmtId="0" xfId="0" applyAlignment="1" applyBorder="1" applyFont="1">
      <alignment horizontal="left" vertical="center"/>
    </xf>
    <xf borderId="5" fillId="0" fontId="11" numFmtId="0" xfId="0" applyBorder="1" applyFont="1"/>
    <xf borderId="21" fillId="2" fontId="1" numFmtId="0" xfId="0" applyAlignment="1" applyBorder="1" applyFont="1">
      <alignment horizontal="left"/>
    </xf>
    <xf borderId="50" fillId="2" fontId="1" numFmtId="0" xfId="0" applyAlignment="1" applyBorder="1" applyFont="1">
      <alignment horizontal="left"/>
    </xf>
    <xf borderId="5" fillId="2" fontId="1" numFmtId="1" xfId="0" applyBorder="1" applyFont="1" applyNumberFormat="1"/>
    <xf borderId="21" fillId="2" fontId="1" numFmtId="1" xfId="0" applyBorder="1" applyFont="1" applyNumberFormat="1"/>
    <xf borderId="5" fillId="2" fontId="1" numFmtId="0" xfId="0" applyAlignment="1" applyBorder="1" applyFont="1">
      <alignment horizontal="left"/>
    </xf>
    <xf borderId="12" fillId="0" fontId="11" numFmtId="0" xfId="0" applyAlignment="1" applyBorder="1" applyFont="1">
      <alignment vertical="top"/>
    </xf>
    <xf borderId="0" fillId="0" fontId="11" numFmtId="0" xfId="0" applyAlignment="1" applyFont="1">
      <alignment vertical="top"/>
    </xf>
    <xf borderId="51" fillId="2" fontId="29" numFmtId="0" xfId="0" applyAlignment="1" applyBorder="1" applyFont="1">
      <alignment shrinkToFit="0" vertical="top" wrapText="1"/>
    </xf>
    <xf borderId="52" fillId="2" fontId="30" numFmtId="0" xfId="0" applyAlignment="1" applyBorder="1" applyFont="1">
      <alignment shrinkToFit="0" vertical="top" wrapText="1"/>
    </xf>
    <xf borderId="52" fillId="2" fontId="11" numFmtId="0" xfId="0" applyAlignment="1" applyBorder="1" applyFont="1">
      <alignment vertical="top"/>
    </xf>
    <xf borderId="53" fillId="2" fontId="11" numFmtId="0" xfId="0" applyAlignment="1" applyBorder="1" applyFont="1">
      <alignment vertical="top"/>
    </xf>
    <xf borderId="0" fillId="0" fontId="29" numFmtId="0" xfId="0" applyAlignment="1" applyFont="1">
      <alignment vertical="top"/>
    </xf>
    <xf borderId="54" fillId="2" fontId="29" numFmtId="0" xfId="0" applyAlignment="1" applyBorder="1" applyFont="1">
      <alignment shrinkToFit="0" vertical="top" wrapText="1"/>
    </xf>
    <xf borderId="12" fillId="0" fontId="11" numFmtId="0" xfId="0" applyBorder="1" applyFont="1"/>
    <xf borderId="55" fillId="0" fontId="5" numFmtId="0" xfId="0" applyBorder="1" applyFont="1"/>
    <xf borderId="1" fillId="8" fontId="31" numFmtId="0" xfId="0" applyAlignment="1" applyBorder="1" applyFill="1" applyFont="1">
      <alignment vertical="top"/>
    </xf>
    <xf borderId="56" fillId="2" fontId="11" numFmtId="0" xfId="0" applyAlignment="1" applyBorder="1" applyFont="1">
      <alignment vertical="top"/>
    </xf>
    <xf borderId="57" fillId="0" fontId="5" numFmtId="0" xfId="0" applyBorder="1" applyFont="1"/>
    <xf borderId="58" fillId="0" fontId="5" numFmtId="0" xfId="0" applyBorder="1" applyFont="1"/>
    <xf borderId="1" fillId="6" fontId="29" numFmtId="0" xfId="0" applyAlignment="1" applyBorder="1" applyFont="1">
      <alignment vertical="top"/>
    </xf>
    <xf borderId="54" fillId="2" fontId="29" numFmtId="0" xfId="0" applyAlignment="1" applyBorder="1" applyFont="1">
      <alignment vertical="top"/>
    </xf>
    <xf borderId="59" fillId="2" fontId="29" numFmtId="0" xfId="0" applyAlignment="1" applyBorder="1" applyFont="1">
      <alignment shrinkToFit="0" vertical="top" wrapText="1"/>
    </xf>
    <xf borderId="56" fillId="2" fontId="29" numFmtId="0" xfId="0" applyAlignment="1" applyBorder="1" applyFont="1">
      <alignment shrinkToFit="0" vertical="top" wrapText="1"/>
    </xf>
    <xf borderId="60" fillId="0" fontId="5" numFmtId="0" xfId="0" applyBorder="1" applyFont="1"/>
    <xf borderId="24" fillId="0" fontId="11" numFmtId="0" xfId="0" applyAlignment="1" applyBorder="1" applyFont="1">
      <alignment vertical="top"/>
    </xf>
    <xf borderId="59" fillId="2" fontId="12" numFmtId="22" xfId="0" applyAlignment="1" applyBorder="1" applyFont="1" applyNumberFormat="1">
      <alignment shrinkToFit="0" vertical="top" wrapText="1"/>
    </xf>
    <xf borderId="0" fillId="0" fontId="11" numFmtId="22" xfId="0" applyAlignment="1" applyFont="1" applyNumberFormat="1">
      <alignment vertical="top"/>
    </xf>
    <xf borderId="61" fillId="2" fontId="12" numFmtId="0" xfId="0" applyAlignment="1" applyBorder="1" applyFont="1">
      <alignment vertical="top"/>
    </xf>
    <xf borderId="62" fillId="2" fontId="12" numFmtId="0" xfId="0" applyAlignment="1" applyBorder="1" applyFont="1">
      <alignment vertical="top"/>
    </xf>
    <xf borderId="63" fillId="2" fontId="12" numFmtId="0" xfId="0" applyAlignment="1" applyBorder="1" applyFont="1">
      <alignment vertical="top"/>
    </xf>
    <xf borderId="64" fillId="0" fontId="5" numFmtId="0" xfId="0" applyBorder="1" applyFont="1"/>
    <xf borderId="63" fillId="2" fontId="12" numFmtId="0" xfId="0" applyAlignment="1" applyBorder="1" applyFont="1">
      <alignment shrinkToFit="0" vertical="top" wrapText="1"/>
    </xf>
    <xf borderId="65" fillId="0" fontId="5" numFmtId="0" xfId="0" applyBorder="1" applyFont="1"/>
    <xf borderId="66" fillId="0" fontId="5" numFmtId="0" xfId="0" applyBorder="1" applyFont="1"/>
    <xf borderId="67" fillId="2" fontId="11" numFmtId="0" xfId="0" applyAlignment="1" applyBorder="1" applyFont="1">
      <alignment vertical="top"/>
    </xf>
    <xf borderId="59" fillId="2" fontId="11" numFmtId="0" xfId="0" applyAlignment="1" applyBorder="1" applyFont="1">
      <alignment vertical="top"/>
    </xf>
    <xf borderId="1" fillId="2" fontId="11" numFmtId="0" xfId="0" applyAlignment="1" applyBorder="1" applyFont="1">
      <alignment vertical="top"/>
    </xf>
    <xf borderId="5" fillId="3" fontId="32" numFmtId="0" xfId="0" applyAlignment="1" applyBorder="1" applyFont="1">
      <alignment horizontal="center" shrinkToFit="0" vertical="center" wrapText="1"/>
    </xf>
    <xf borderId="0" fillId="0" fontId="11" numFmtId="0" xfId="0" applyAlignment="1" applyFont="1">
      <alignment horizontal="center" vertical="center"/>
    </xf>
    <xf borderId="1" fillId="2" fontId="11" numFmtId="22" xfId="0" applyAlignment="1" applyBorder="1" applyFont="1" applyNumberFormat="1">
      <alignment horizontal="center" vertical="center"/>
    </xf>
    <xf borderId="2" fillId="9" fontId="32" numFmtId="0" xfId="0" applyAlignment="1" applyBorder="1" applyFill="1" applyFont="1">
      <alignment horizontal="center" shrinkToFit="0" vertical="center" wrapText="1"/>
    </xf>
    <xf borderId="5" fillId="0" fontId="11"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5" fillId="0" fontId="33" numFmtId="0" xfId="0" applyAlignment="1" applyBorder="1" applyFont="1">
      <alignment horizontal="center" shrinkToFit="0" vertical="center" wrapText="1"/>
    </xf>
    <xf borderId="5" fillId="0" fontId="11" numFmtId="166" xfId="0" applyAlignment="1" applyBorder="1" applyFont="1" applyNumberFormat="1">
      <alignment horizontal="center" shrinkToFit="0" vertical="center" wrapText="1"/>
    </xf>
    <xf borderId="2" fillId="9" fontId="11" numFmtId="0" xfId="0" applyAlignment="1" applyBorder="1" applyFont="1">
      <alignment horizontal="center" vertical="center"/>
    </xf>
    <xf borderId="12" fillId="0" fontId="11" numFmtId="0" xfId="0" applyAlignment="1" applyBorder="1" applyFont="1">
      <alignment horizontal="left" vertical="top"/>
    </xf>
    <xf borderId="52" fillId="2" fontId="11" numFmtId="0" xfId="0" applyAlignment="1" applyBorder="1" applyFont="1">
      <alignment horizontal="left" vertical="top"/>
    </xf>
    <xf borderId="56" fillId="2" fontId="29" numFmtId="0" xfId="0" applyAlignment="1" applyBorder="1" applyFont="1">
      <alignment horizontal="left" shrinkToFit="0" vertical="top" wrapText="1"/>
    </xf>
    <xf borderId="63" fillId="2" fontId="12" numFmtId="0" xfId="0" applyAlignment="1" applyBorder="1" applyFont="1">
      <alignment horizontal="left" vertical="top"/>
    </xf>
    <xf borderId="5" fillId="3" fontId="31" numFmtId="0" xfId="0" applyAlignment="1" applyBorder="1" applyFont="1">
      <alignment horizontal="center" shrinkToFit="0" vertical="center" wrapText="1"/>
    </xf>
    <xf borderId="24" fillId="0" fontId="11" numFmtId="0" xfId="0" applyAlignment="1" applyBorder="1" applyFont="1">
      <alignment horizontal="center" vertical="center"/>
    </xf>
    <xf borderId="59" fillId="2" fontId="11" numFmtId="22" xfId="0" applyAlignment="1" applyBorder="1" applyFont="1" applyNumberFormat="1">
      <alignment horizontal="center" vertical="center"/>
    </xf>
    <xf borderId="5" fillId="10" fontId="11" numFmtId="0" xfId="0" applyAlignment="1" applyBorder="1" applyFill="1" applyFont="1">
      <alignment horizontal="center" shrinkToFit="0" vertical="center" wrapText="1"/>
    </xf>
    <xf borderId="5" fillId="10" fontId="34" numFmtId="0" xfId="0" applyAlignment="1" applyBorder="1" applyFont="1">
      <alignment horizontal="center" shrinkToFit="0" vertical="center" wrapText="1"/>
    </xf>
    <xf borderId="6" fillId="2" fontId="11" numFmtId="0" xfId="0" applyAlignment="1" applyBorder="1" applyFont="1">
      <alignment horizontal="center" shrinkToFit="0" vertical="center" wrapText="1"/>
    </xf>
    <xf borderId="6" fillId="2" fontId="12" numFmtId="0" xfId="0" applyAlignment="1" applyBorder="1" applyFont="1">
      <alignment horizontal="center" shrinkToFit="0" vertical="center" wrapText="1"/>
    </xf>
    <xf borderId="68" fillId="2" fontId="35" numFmtId="166" xfId="0" applyAlignment="1" applyBorder="1" applyFont="1" applyNumberFormat="1">
      <alignment horizontal="center" shrinkToFit="0" vertical="center" wrapText="1"/>
    </xf>
    <xf borderId="5" fillId="2" fontId="11" numFmtId="0" xfId="0" applyAlignment="1" applyBorder="1" applyFont="1">
      <alignment horizontal="center" shrinkToFit="0" vertical="center" wrapText="1"/>
    </xf>
    <xf borderId="69" fillId="0" fontId="5" numFmtId="0" xfId="0" applyBorder="1" applyFont="1"/>
    <xf borderId="70" fillId="0" fontId="5" numFmtId="0" xfId="0" applyBorder="1" applyFont="1"/>
    <xf borderId="71" fillId="0" fontId="5" numFmtId="0" xfId="0" applyBorder="1" applyFont="1"/>
    <xf borderId="51" fillId="10" fontId="11" numFmtId="0" xfId="0" applyAlignment="1" applyBorder="1" applyFont="1">
      <alignment horizontal="center" shrinkToFit="0" vertical="center" wrapText="1"/>
    </xf>
    <xf borderId="25" fillId="10" fontId="11" numFmtId="0" xfId="0" applyAlignment="1" applyBorder="1" applyFont="1">
      <alignment horizontal="center" shrinkToFit="0" vertical="center" wrapText="1"/>
    </xf>
    <xf borderId="72" fillId="2" fontId="11" numFmtId="0" xfId="0" applyAlignment="1" applyBorder="1" applyFont="1">
      <alignment horizontal="center" shrinkToFit="0" vertical="center" wrapText="1"/>
    </xf>
    <xf borderId="0" fillId="0" fontId="11" numFmtId="0" xfId="0" applyAlignment="1" applyFont="1">
      <alignment horizontal="left" vertical="top"/>
    </xf>
    <xf borderId="5" fillId="9" fontId="11" numFmtId="0" xfId="0" applyAlignment="1" applyBorder="1" applyFont="1">
      <alignment vertical="top"/>
    </xf>
    <xf borderId="5" fillId="9" fontId="11" numFmtId="0" xfId="0" applyAlignment="1" applyBorder="1" applyFont="1">
      <alignment horizontal="center" vertical="center"/>
    </xf>
    <xf borderId="5" fillId="9" fontId="11" numFmtId="0" xfId="0" applyAlignment="1" applyBorder="1" applyFont="1">
      <alignment horizontal="left" vertical="center"/>
    </xf>
    <xf borderId="1" fillId="9" fontId="11" numFmtId="0" xfId="0" applyAlignment="1" applyBorder="1" applyFont="1">
      <alignment vertical="top"/>
    </xf>
    <xf borderId="1" fillId="9" fontId="11" numFmtId="0" xfId="0" applyBorder="1" applyFont="1"/>
    <xf borderId="5" fillId="0" fontId="11" numFmtId="0" xfId="0" applyAlignment="1" applyBorder="1" applyFont="1">
      <alignment horizontal="left" vertical="center"/>
    </xf>
    <xf borderId="5" fillId="0" fontId="11" numFmtId="0" xfId="0" applyAlignment="1" applyBorder="1" applyFont="1">
      <alignment horizontal="center" vertical="center"/>
    </xf>
    <xf borderId="0" fillId="0" fontId="11" numFmtId="0" xfId="0" applyAlignment="1" applyFont="1">
      <alignment horizontal="left" vertical="center"/>
    </xf>
    <xf quotePrefix="1" borderId="51" fillId="2" fontId="29" numFmtId="0" xfId="0" applyAlignment="1" applyBorder="1" applyFont="1">
      <alignment shrinkToFit="0" vertical="top" wrapText="1"/>
    </xf>
    <xf borderId="26" fillId="2" fontId="11" numFmtId="0" xfId="0" applyAlignment="1" applyBorder="1" applyFont="1">
      <alignment vertical="top"/>
    </xf>
    <xf borderId="23" fillId="2" fontId="11" numFmtId="0" xfId="0" applyAlignment="1" applyBorder="1" applyFont="1">
      <alignment vertical="top"/>
    </xf>
    <xf borderId="5" fillId="3" fontId="36" numFmtId="0" xfId="0" applyAlignment="1" applyBorder="1" applyFont="1">
      <alignment horizontal="center" shrinkToFit="0" wrapText="1"/>
    </xf>
    <xf borderId="0" fillId="0" fontId="37" numFmtId="0" xfId="0" applyFont="1"/>
    <xf borderId="2" fillId="9" fontId="37" numFmtId="0" xfId="0" applyBorder="1" applyFont="1"/>
    <xf borderId="5" fillId="0" fontId="38" numFmtId="0" xfId="0" applyAlignment="1" applyBorder="1" applyFont="1">
      <alignment horizontal="left" shrinkToFit="0" vertical="center" wrapText="1"/>
    </xf>
    <xf borderId="6" fillId="0" fontId="38" numFmtId="0" xfId="0" applyAlignment="1" applyBorder="1" applyFont="1">
      <alignment horizontal="left" shrinkToFit="0" vertical="center" wrapText="1"/>
    </xf>
    <xf borderId="5" fillId="0" fontId="38" numFmtId="166" xfId="0" applyAlignment="1" applyBorder="1" applyFont="1" applyNumberFormat="1">
      <alignment horizontal="left" shrinkToFit="0" vertical="center" wrapText="1"/>
    </xf>
    <xf borderId="5" fillId="0" fontId="39" numFmtId="0" xfId="0" applyAlignment="1" applyBorder="1" applyFont="1">
      <alignment horizontal="left" shrinkToFit="0" vertical="center" wrapText="1"/>
    </xf>
    <xf borderId="5" fillId="9" fontId="11" numFmtId="0" xfId="0" applyBorder="1" applyFont="1"/>
    <xf borderId="5" fillId="0" fontId="37" numFmtId="0" xfId="0" applyBorder="1" applyFont="1"/>
    <xf borderId="5" fillId="2" fontId="40" numFmtId="0" xfId="0" applyAlignment="1" applyBorder="1" applyFont="1">
      <alignment horizontal="left" shrinkToFit="0" vertical="center" wrapText="1"/>
    </xf>
    <xf borderId="6" fillId="2" fontId="40" numFmtId="0" xfId="0" applyAlignment="1" applyBorder="1" applyFont="1">
      <alignment horizontal="left" shrinkToFit="0" vertical="center" wrapText="1"/>
    </xf>
    <xf borderId="5" fillId="2" fontId="40" numFmtId="166" xfId="0" applyAlignment="1" applyBorder="1" applyFont="1" applyNumberFormat="1">
      <alignment horizontal="left" shrinkToFit="0" vertical="center" wrapText="1"/>
    </xf>
    <xf borderId="5" fillId="9" fontId="37" numFmtId="0" xfId="0" applyBorder="1" applyFont="1"/>
    <xf borderId="5" fillId="9" fontId="40" numFmtId="0" xfId="0" applyAlignment="1" applyBorder="1" applyFont="1">
      <alignment horizontal="left" shrinkToFit="0" vertical="center" wrapText="1"/>
    </xf>
    <xf borderId="0" fillId="0" fontId="1" numFmtId="0" xfId="0" applyAlignment="1" applyFont="1">
      <alignment horizontal="left" vertical="top"/>
    </xf>
    <xf borderId="0" fillId="0" fontId="41" numFmtId="0" xfId="0" applyAlignment="1" applyFont="1">
      <alignment horizontal="left" vertical="top"/>
    </xf>
    <xf borderId="5" fillId="2" fontId="9" numFmtId="0" xfId="0" applyAlignment="1" applyBorder="1" applyFont="1">
      <alignment horizontal="left" shrinkToFit="0" vertical="top" wrapText="1"/>
    </xf>
    <xf borderId="21" fillId="2" fontId="7" numFmtId="0" xfId="0" applyAlignment="1" applyBorder="1" applyFont="1">
      <alignment shrinkToFit="0" vertical="top" wrapText="1"/>
    </xf>
    <xf borderId="73" fillId="2" fontId="7" numFmtId="0" xfId="0" applyAlignment="1" applyBorder="1" applyFont="1">
      <alignment shrinkToFit="0" vertical="top" wrapText="1"/>
    </xf>
    <xf borderId="74" fillId="2" fontId="7" numFmtId="0" xfId="0" applyAlignment="1" applyBorder="1" applyFont="1">
      <alignment shrinkToFit="0" vertical="top" wrapText="1"/>
    </xf>
    <xf borderId="0" fillId="0" fontId="9" numFmtId="0" xfId="0" applyAlignment="1" applyFont="1">
      <alignment horizontal="left" vertical="top"/>
    </xf>
    <xf borderId="54" fillId="2" fontId="9" numFmtId="0" xfId="0" applyAlignment="1" applyBorder="1" applyFont="1">
      <alignment horizontal="left" shrinkToFit="0" vertical="top" wrapText="1"/>
    </xf>
    <xf borderId="2" fillId="2" fontId="7" numFmtId="0" xfId="0" applyAlignment="1" applyBorder="1" applyFont="1">
      <alignment horizontal="left" shrinkToFit="0" vertical="top" wrapText="1"/>
    </xf>
    <xf borderId="75" fillId="0" fontId="5" numFmtId="0" xfId="0" applyBorder="1" applyFont="1"/>
    <xf borderId="1" fillId="8" fontId="42" numFmtId="0" xfId="0" applyAlignment="1" applyBorder="1" applyFont="1">
      <alignment horizontal="left" vertical="top"/>
    </xf>
    <xf borderId="1" fillId="6" fontId="9" numFmtId="0" xfId="0" applyAlignment="1" applyBorder="1" applyFont="1">
      <alignment horizontal="left" vertical="top"/>
    </xf>
    <xf borderId="76" fillId="2" fontId="24" numFmtId="0" xfId="0" applyAlignment="1" applyBorder="1" applyFont="1">
      <alignment horizontal="left" vertical="top"/>
    </xf>
    <xf borderId="5" fillId="2" fontId="24" numFmtId="0" xfId="0" applyAlignment="1" applyBorder="1" applyFont="1">
      <alignment horizontal="left" shrinkToFit="0" vertical="top" wrapText="1"/>
    </xf>
    <xf borderId="2" fillId="2" fontId="24" numFmtId="0" xfId="0" applyAlignment="1" applyBorder="1" applyFont="1">
      <alignment horizontal="left" shrinkToFit="0" vertical="top" wrapText="1"/>
    </xf>
    <xf borderId="2" fillId="2" fontId="9" numFmtId="0" xfId="0" applyAlignment="1" applyBorder="1" applyFont="1">
      <alignment horizontal="left" shrinkToFit="0" vertical="top" wrapText="1"/>
    </xf>
    <xf borderId="2" fillId="2" fontId="24" numFmtId="0" xfId="0" applyAlignment="1" applyBorder="1" applyFont="1">
      <alignment shrinkToFit="0" vertical="top" wrapText="1"/>
    </xf>
    <xf borderId="5" fillId="2" fontId="1" numFmtId="22" xfId="0" applyAlignment="1" applyBorder="1" applyFont="1" applyNumberFormat="1">
      <alignment horizontal="left" shrinkToFit="0" vertical="top" wrapText="1"/>
    </xf>
    <xf borderId="0" fillId="0" fontId="1" numFmtId="22" xfId="0" applyAlignment="1" applyFont="1" applyNumberFormat="1">
      <alignment horizontal="left" vertical="top"/>
    </xf>
    <xf borderId="77" fillId="2" fontId="43" numFmtId="0" xfId="0" applyAlignment="1" applyBorder="1" applyFont="1">
      <alignment horizontal="left" vertical="top"/>
    </xf>
    <xf borderId="78" fillId="2" fontId="43" numFmtId="0" xfId="0" applyAlignment="1" applyBorder="1" applyFont="1">
      <alignment horizontal="left" vertical="top"/>
    </xf>
    <xf borderId="79" fillId="2" fontId="43" numFmtId="0" xfId="0" applyAlignment="1" applyBorder="1" applyFont="1">
      <alignment horizontal="left" vertical="top"/>
    </xf>
    <xf borderId="80" fillId="0" fontId="5" numFmtId="0" xfId="0" applyBorder="1" applyFont="1"/>
    <xf borderId="79" fillId="2" fontId="43" numFmtId="0" xfId="0" applyAlignment="1" applyBorder="1" applyFont="1">
      <alignment horizontal="left" shrinkToFit="0" vertical="top" wrapText="1"/>
    </xf>
    <xf borderId="81" fillId="0" fontId="5" numFmtId="0" xfId="0" applyBorder="1" applyFont="1"/>
    <xf borderId="82" fillId="0" fontId="5" numFmtId="0" xfId="0" applyBorder="1" applyFont="1"/>
    <xf borderId="20" fillId="2" fontId="43" numFmtId="0" xfId="0" applyAlignment="1" applyBorder="1" applyFont="1">
      <alignment horizontal="left" vertical="top"/>
    </xf>
    <xf borderId="83" fillId="2" fontId="43" numFmtId="0" xfId="0" applyAlignment="1" applyBorder="1" applyFont="1">
      <alignment vertical="top"/>
    </xf>
    <xf borderId="83" fillId="2" fontId="43" numFmtId="0" xfId="0" applyAlignment="1" applyBorder="1" applyFont="1">
      <alignment horizontal="left" vertical="top"/>
    </xf>
    <xf borderId="1" fillId="2" fontId="43" numFmtId="0" xfId="0" applyAlignment="1" applyBorder="1" applyFont="1">
      <alignment horizontal="left" vertical="top"/>
    </xf>
    <xf borderId="1" fillId="2" fontId="1" numFmtId="0" xfId="0" applyAlignment="1" applyBorder="1" applyFont="1">
      <alignment horizontal="left" vertical="top"/>
    </xf>
    <xf borderId="1" fillId="2" fontId="43" numFmtId="0" xfId="0" applyAlignment="1" applyBorder="1" applyFont="1">
      <alignment horizontal="left" shrinkToFit="0" vertical="top" wrapText="1"/>
    </xf>
    <xf borderId="84" fillId="2" fontId="43" numFmtId="0" xfId="0" applyAlignment="1" applyBorder="1" applyFont="1">
      <alignment horizontal="left" shrinkToFit="0" vertical="top" wrapText="1"/>
    </xf>
    <xf borderId="1" fillId="2" fontId="8" numFmtId="0" xfId="0" applyAlignment="1" applyBorder="1" applyFont="1">
      <alignment horizontal="center" shrinkToFit="0" vertical="center" wrapText="1"/>
    </xf>
    <xf borderId="1" fillId="2" fontId="1" numFmtId="22" xfId="0" applyAlignment="1" applyBorder="1" applyFont="1" applyNumberFormat="1">
      <alignment horizontal="center" shrinkToFit="0" vertical="top" wrapText="1"/>
    </xf>
    <xf borderId="0" fillId="0" fontId="1" numFmtId="0" xfId="0" applyAlignment="1" applyFont="1">
      <alignment horizontal="center" vertical="top"/>
    </xf>
    <xf borderId="5" fillId="3" fontId="31" numFmtId="0" xfId="0" applyAlignment="1" applyBorder="1" applyFont="1">
      <alignment horizontal="left" shrinkToFit="0" vertical="center" wrapText="1"/>
    </xf>
    <xf borderId="59" fillId="2" fontId="11" numFmtId="22" xfId="0" applyAlignment="1" applyBorder="1" applyFont="1" applyNumberFormat="1">
      <alignment vertical="top"/>
    </xf>
    <xf borderId="85" fillId="10" fontId="11" numFmtId="0" xfId="0" applyAlignment="1" applyBorder="1" applyFont="1">
      <alignment horizontal="center" shrinkToFit="0" vertical="center" wrapText="1"/>
    </xf>
    <xf borderId="86" fillId="0" fontId="5" numFmtId="0" xfId="0" applyBorder="1" applyFont="1"/>
    <xf borderId="87" fillId="0" fontId="5" numFmtId="0" xfId="0" applyBorder="1" applyFont="1"/>
    <xf borderId="39" fillId="0" fontId="11" numFmtId="0" xfId="0" applyBorder="1" applyFont="1"/>
    <xf borderId="6" fillId="2" fontId="11" numFmtId="0" xfId="0" applyAlignment="1" applyBorder="1" applyFont="1">
      <alignment horizontal="left" shrinkToFit="0" vertical="center" wrapText="1"/>
    </xf>
    <xf borderId="6" fillId="2" fontId="35" numFmtId="166" xfId="0" applyAlignment="1" applyBorder="1" applyFont="1" applyNumberFormat="1">
      <alignment horizontal="center" shrinkToFit="0" vertical="center" wrapText="1"/>
    </xf>
    <xf borderId="21" fillId="2" fontId="43" numFmtId="0" xfId="0" applyAlignment="1" applyBorder="1" applyFont="1">
      <alignment horizontal="left" vertical="top"/>
    </xf>
    <xf borderId="73" fillId="2" fontId="43" numFmtId="0" xfId="0" applyAlignment="1" applyBorder="1" applyFont="1">
      <alignment horizontal="left" vertical="top"/>
    </xf>
    <xf borderId="2" fillId="11" fontId="44" numFmtId="0" xfId="0" applyBorder="1" applyFill="1" applyFont="1"/>
    <xf borderId="2" fillId="2" fontId="40" numFmtId="0" xfId="0" applyAlignment="1" applyBorder="1" applyFont="1">
      <alignment horizontal="left" shrinkToFit="0" vertical="center" wrapText="1"/>
    </xf>
    <xf borderId="5" fillId="0" fontId="11" numFmtId="0" xfId="0" applyAlignment="1" applyBorder="1" applyFont="1">
      <alignment shrinkToFit="0" wrapText="1"/>
    </xf>
    <xf borderId="6" fillId="2" fontId="40" numFmtId="0" xfId="0" applyAlignment="1" applyBorder="1" applyFont="1">
      <alignment horizontal="center" shrinkToFit="0" vertical="center" wrapText="1"/>
    </xf>
    <xf borderId="5" fillId="0" fontId="11" numFmtId="0" xfId="0" applyAlignment="1" applyBorder="1" applyFont="1">
      <alignment shrinkToFit="0" vertical="center" wrapText="1"/>
    </xf>
    <xf borderId="5" fillId="0" fontId="11" numFmtId="166" xfId="0" applyAlignment="1" applyBorder="1" applyFont="1" applyNumberFormat="1">
      <alignment shrinkToFit="0" vertical="center" wrapText="1"/>
    </xf>
    <xf borderId="5" fillId="0" fontId="1" numFmtId="0" xfId="0" applyAlignment="1" applyBorder="1" applyFont="1">
      <alignment horizontal="left" vertical="top"/>
    </xf>
    <xf borderId="5" fillId="2" fontId="40" numFmtId="0" xfId="0" applyAlignment="1" applyBorder="1" applyFont="1">
      <alignment horizontal="center" shrinkToFit="0" vertical="center" wrapText="1"/>
    </xf>
    <xf borderId="5" fillId="11" fontId="1" numFmtId="0" xfId="0" applyAlignment="1" applyBorder="1" applyFont="1">
      <alignment horizontal="left" vertical="top"/>
    </xf>
    <xf borderId="5" fillId="5" fontId="1" numFmtId="0" xfId="0" applyAlignment="1" applyBorder="1" applyFont="1">
      <alignment horizontal="left" vertical="top"/>
    </xf>
    <xf borderId="1" fillId="5" fontId="1" numFmtId="0" xfId="0" applyAlignment="1" applyBorder="1" applyFont="1">
      <alignment horizontal="left" vertical="top"/>
    </xf>
    <xf borderId="2" fillId="0" fontId="38" numFmtId="0" xfId="0" applyAlignment="1" applyBorder="1" applyFont="1">
      <alignment horizontal="left" shrinkToFit="0" vertical="center" wrapText="1"/>
    </xf>
    <xf borderId="4" fillId="0" fontId="38" numFmtId="0" xfId="0" applyAlignment="1" applyBorder="1" applyFont="1">
      <alignment horizontal="left" shrinkToFit="0" vertical="center" wrapText="1"/>
    </xf>
    <xf borderId="10" fillId="0" fontId="38" numFmtId="0" xfId="0" applyAlignment="1" applyBorder="1" applyFont="1">
      <alignment horizontal="left" shrinkToFit="0" vertical="center" wrapText="1"/>
    </xf>
    <xf borderId="6" fillId="0" fontId="38" numFmtId="166" xfId="0" applyAlignment="1" applyBorder="1" applyFont="1" applyNumberFormat="1">
      <alignment horizontal="left" shrinkToFit="0" vertical="center" wrapText="1"/>
    </xf>
    <xf borderId="2" fillId="11" fontId="11" numFmtId="0" xfId="0" applyBorder="1" applyFont="1"/>
    <xf borderId="6" fillId="2" fontId="40" numFmtId="166" xfId="0" applyAlignment="1" applyBorder="1" applyFont="1" applyNumberFormat="1">
      <alignment horizontal="left" shrinkToFit="0" vertical="center" wrapText="1"/>
    </xf>
    <xf borderId="2" fillId="11" fontId="1" numFmtId="0" xfId="0" applyAlignment="1" applyBorder="1" applyFont="1">
      <alignment horizontal="left" vertical="top"/>
    </xf>
    <xf borderId="1" fillId="2" fontId="11" numFmtId="0" xfId="0" applyBorder="1" applyFont="1"/>
    <xf borderId="5" fillId="2" fontId="11" numFmtId="0" xfId="0" applyBorder="1" applyFont="1"/>
    <xf borderId="12" fillId="0" fontId="11" numFmtId="0" xfId="0" applyAlignment="1" applyBorder="1" applyFont="1">
      <alignment vertical="center"/>
    </xf>
    <xf borderId="52" fillId="2" fontId="30" numFmtId="0" xfId="0" applyAlignment="1" applyBorder="1" applyFont="1">
      <alignment shrinkToFit="0" vertical="center" wrapText="1"/>
    </xf>
    <xf borderId="52" fillId="2" fontId="11" numFmtId="0" xfId="0" applyAlignment="1" applyBorder="1" applyFont="1">
      <alignment vertical="center"/>
    </xf>
    <xf borderId="56" fillId="2" fontId="11" numFmtId="0" xfId="0" applyAlignment="1" applyBorder="1" applyFont="1">
      <alignment vertical="center"/>
    </xf>
    <xf borderId="59" fillId="2" fontId="29" numFmtId="0" xfId="0" applyAlignment="1" applyBorder="1" applyFont="1">
      <alignment shrinkToFit="0" vertical="center" wrapText="1"/>
    </xf>
    <xf borderId="56" fillId="2" fontId="29" numFmtId="0" xfId="0" applyAlignment="1" applyBorder="1" applyFont="1">
      <alignment shrinkToFit="0" vertical="center" wrapText="1"/>
    </xf>
    <xf borderId="62" fillId="2" fontId="12" numFmtId="0" xfId="0" applyAlignment="1" applyBorder="1" applyFont="1">
      <alignment vertical="center"/>
    </xf>
    <xf borderId="63" fillId="2" fontId="12" numFmtId="0" xfId="0" applyAlignment="1" applyBorder="1" applyFont="1">
      <alignment vertical="center"/>
    </xf>
    <xf borderId="5" fillId="3" fontId="31" numFmtId="0" xfId="0" applyAlignment="1" applyBorder="1" applyFont="1">
      <alignment horizontal="center" shrinkToFit="0" wrapText="1"/>
    </xf>
    <xf borderId="88" fillId="10" fontId="11" numFmtId="0" xfId="0" applyBorder="1" applyFont="1"/>
    <xf borderId="89" fillId="2" fontId="19" numFmtId="0" xfId="0" applyAlignment="1" applyBorder="1" applyFont="1">
      <alignment horizontal="center" shrinkToFit="0" vertical="center" wrapText="1"/>
    </xf>
    <xf borderId="90" fillId="2" fontId="19" numFmtId="0" xfId="0" applyAlignment="1" applyBorder="1" applyFont="1">
      <alignment horizontal="center" vertical="center"/>
    </xf>
    <xf borderId="1" fillId="2" fontId="11" numFmtId="166" xfId="0" applyBorder="1" applyFont="1" applyNumberFormat="1"/>
    <xf borderId="1" fillId="10" fontId="11" numFmtId="0" xfId="0" applyBorder="1" applyFont="1"/>
    <xf borderId="1" fillId="10" fontId="19" numFmtId="0" xfId="0" applyAlignment="1" applyBorder="1" applyFont="1">
      <alignment horizontal="center" shrinkToFit="0" vertical="center" wrapText="1"/>
    </xf>
    <xf borderId="91" fillId="2" fontId="19" numFmtId="0" xfId="0" applyAlignment="1" applyBorder="1" applyFont="1">
      <alignment horizontal="center" shrinkToFit="0" vertical="center" wrapText="1"/>
    </xf>
    <xf borderId="92" fillId="0" fontId="5" numFmtId="0" xfId="0" applyBorder="1" applyFont="1"/>
    <xf borderId="1" fillId="10" fontId="19" numFmtId="0" xfId="0" applyAlignment="1" applyBorder="1" applyFont="1">
      <alignment horizontal="center" vertical="center"/>
    </xf>
    <xf borderId="89" fillId="2" fontId="19" numFmtId="0" xfId="0" applyAlignment="1" applyBorder="1" applyFont="1">
      <alignment horizontal="center" vertical="center"/>
    </xf>
    <xf borderId="93" fillId="0" fontId="5" numFmtId="0" xfId="0" applyBorder="1" applyFont="1"/>
    <xf borderId="94" fillId="2" fontId="19" numFmtId="0" xfId="0" applyAlignment="1" applyBorder="1" applyFont="1">
      <alignment horizontal="center" shrinkToFit="0" vertical="center" wrapText="1"/>
    </xf>
    <xf borderId="1" fillId="2" fontId="19" numFmtId="0" xfId="0" applyAlignment="1" applyBorder="1" applyFont="1">
      <alignment horizontal="center" vertical="center"/>
    </xf>
    <xf borderId="95" fillId="2" fontId="19" numFmtId="0" xfId="0" applyAlignment="1" applyBorder="1" applyFont="1">
      <alignment horizontal="center" shrinkToFit="0" vertical="center" wrapText="1"/>
    </xf>
    <xf borderId="1" fillId="2" fontId="11" numFmtId="0" xfId="0" applyAlignment="1" applyBorder="1" applyFont="1">
      <alignment vertical="center"/>
    </xf>
    <xf borderId="0" fillId="0" fontId="11" numFmtId="0" xfId="0" applyAlignment="1" applyFont="1">
      <alignment vertical="center"/>
    </xf>
    <xf borderId="88" fillId="2" fontId="4" numFmtId="0" xfId="0" applyAlignment="1" applyBorder="1" applyFont="1">
      <alignment horizontal="center"/>
    </xf>
    <xf borderId="1" fillId="2" fontId="9" numFmtId="0" xfId="0" applyBorder="1" applyFont="1"/>
    <xf borderId="1" fillId="2" fontId="1" numFmtId="15" xfId="0" applyBorder="1" applyFont="1" applyNumberFormat="1"/>
    <xf borderId="5" fillId="2" fontId="6" numFmtId="0" xfId="0" applyAlignment="1" applyBorder="1" applyFont="1">
      <alignment horizontal="left" vertical="center"/>
    </xf>
    <xf borderId="2" fillId="2" fontId="6" numFmtId="0" xfId="0" applyAlignment="1" applyBorder="1" applyFont="1">
      <alignment horizontal="left"/>
    </xf>
    <xf borderId="50" fillId="2" fontId="6" numFmtId="0" xfId="0" applyAlignment="1" applyBorder="1" applyFont="1">
      <alignment horizontal="left"/>
    </xf>
    <xf borderId="50" fillId="2" fontId="1" numFmtId="0" xfId="0" applyAlignment="1" applyBorder="1" applyFont="1">
      <alignment vertical="top"/>
    </xf>
    <xf borderId="5" fillId="2" fontId="6" numFmtId="0" xfId="0" applyAlignment="1" applyBorder="1" applyFont="1">
      <alignment vertical="center"/>
    </xf>
    <xf borderId="50" fillId="2" fontId="7" numFmtId="164" xfId="0" applyAlignment="1" applyBorder="1" applyFont="1" applyNumberFormat="1">
      <alignment vertical="top"/>
    </xf>
    <xf borderId="1" fillId="2" fontId="7" numFmtId="0" xfId="0" applyBorder="1" applyFont="1"/>
    <xf quotePrefix="1" borderId="1" fillId="2" fontId="1" numFmtId="0" xfId="0" applyBorder="1" applyFont="1"/>
    <xf borderId="96" fillId="2" fontId="1" numFmtId="0" xfId="0" applyBorder="1" applyFont="1"/>
    <xf borderId="97" fillId="3" fontId="8" numFmtId="0" xfId="0" applyAlignment="1" applyBorder="1" applyFont="1">
      <alignment horizontal="center"/>
    </xf>
    <xf borderId="15" fillId="3" fontId="8" numFmtId="0" xfId="0" applyAlignment="1" applyBorder="1" applyFont="1">
      <alignment horizontal="center"/>
    </xf>
    <xf borderId="15" fillId="3" fontId="8" numFmtId="0" xfId="0" applyAlignment="1" applyBorder="1" applyFont="1">
      <alignment horizontal="center" shrinkToFit="0" wrapText="1"/>
    </xf>
    <xf borderId="98" fillId="3" fontId="8" numFmtId="0" xfId="0" applyAlignment="1" applyBorder="1" applyFont="1">
      <alignment horizontal="center"/>
    </xf>
    <xf borderId="99" fillId="3" fontId="8" numFmtId="0" xfId="0" applyAlignment="1" applyBorder="1" applyFont="1">
      <alignment horizontal="center" shrinkToFit="0" wrapText="1"/>
    </xf>
    <xf borderId="100" fillId="2" fontId="1" numFmtId="0" xfId="0" applyAlignment="1" applyBorder="1" applyFont="1">
      <alignment horizontal="center"/>
    </xf>
    <xf borderId="18" fillId="2" fontId="1" numFmtId="0" xfId="0" applyBorder="1" applyFont="1"/>
    <xf borderId="18" fillId="2" fontId="1" numFmtId="0" xfId="0" applyAlignment="1" applyBorder="1" applyFont="1">
      <alignment horizontal="center"/>
    </xf>
    <xf borderId="101" fillId="2" fontId="1" numFmtId="0" xfId="0" applyAlignment="1" applyBorder="1" applyFont="1">
      <alignment horizontal="center"/>
    </xf>
    <xf borderId="102" fillId="2" fontId="1" numFmtId="0" xfId="0" applyAlignment="1" applyBorder="1" applyFont="1">
      <alignment horizontal="center"/>
    </xf>
    <xf borderId="103" fillId="2" fontId="1" numFmtId="0" xfId="0" applyAlignment="1" applyBorder="1" applyFont="1">
      <alignment horizontal="center"/>
    </xf>
    <xf borderId="104" fillId="2" fontId="1" numFmtId="0" xfId="0" applyAlignment="1" applyBorder="1" applyFont="1">
      <alignment horizontal="center"/>
    </xf>
    <xf borderId="103" fillId="2" fontId="1" numFmtId="0" xfId="0" applyBorder="1" applyFont="1"/>
    <xf borderId="105" fillId="3" fontId="45" numFmtId="0" xfId="0" applyAlignment="1" applyBorder="1" applyFont="1">
      <alignment horizontal="center"/>
    </xf>
    <xf borderId="106" fillId="3" fontId="8" numFmtId="0" xfId="0" applyBorder="1" applyFont="1"/>
    <xf borderId="106" fillId="3" fontId="45" numFmtId="0" xfId="0" applyAlignment="1" applyBorder="1" applyFont="1">
      <alignment horizontal="center"/>
    </xf>
    <xf borderId="107" fillId="3" fontId="45" numFmtId="0" xfId="0" applyAlignment="1" applyBorder="1" applyFont="1">
      <alignment horizontal="center"/>
    </xf>
    <xf borderId="1" fillId="2" fontId="1" numFmtId="0" xfId="0" applyAlignment="1" applyBorder="1" applyFont="1">
      <alignment horizontal="center"/>
    </xf>
    <xf borderId="1" fillId="2" fontId="1" numFmtId="10" xfId="0" applyAlignment="1" applyBorder="1" applyFont="1" applyNumberFormat="1">
      <alignment horizontal="center"/>
    </xf>
    <xf borderId="1" fillId="2" fontId="1" numFmtId="9" xfId="0" applyAlignment="1" applyBorder="1" applyFont="1" applyNumberFormat="1">
      <alignment horizontal="center"/>
    </xf>
    <xf borderId="1" fillId="2" fontId="46" numFmtId="2" xfId="0" applyAlignment="1" applyBorder="1" applyFont="1" applyNumberFormat="1">
      <alignment horizontal="right" shrinkToFit="0" wrapText="1"/>
    </xf>
    <xf borderId="1" fillId="2" fontId="43" numFmtId="0" xfId="0" applyAlignment="1" applyBorder="1" applyFont="1">
      <alignment horizontal="center"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customer@example.com" TargetMode="External"/><Relationship Id="rId2" Type="http://schemas.openxmlformats.org/officeDocument/2006/relationships/hyperlink" Target="mailto:admin@system.com" TargetMode="External"/><Relationship Id="rId3" Type="http://schemas.openxmlformats.org/officeDocument/2006/relationships/hyperlink" Target="mailto:customer@example.com" TargetMode="External"/><Relationship Id="rId4" Type="http://schemas.openxmlformats.org/officeDocument/2006/relationships/hyperlink" Target="mailto:notexist@abc.com" TargetMode="External"/><Relationship Id="rId10" Type="http://schemas.openxmlformats.org/officeDocument/2006/relationships/drawing" Target="../drawings/drawing4.xml"/><Relationship Id="rId9" Type="http://schemas.openxmlformats.org/officeDocument/2006/relationships/hyperlink" Target="mailto:unknown@abc.com" TargetMode="External"/><Relationship Id="rId5" Type="http://schemas.openxmlformats.org/officeDocument/2006/relationships/hyperlink" Target="mailto:customer@example.com" TargetMode="External"/><Relationship Id="rId6" Type="http://schemas.openxmlformats.org/officeDocument/2006/relationships/hyperlink" Target="mailto:newuser@gmail.com" TargetMode="External"/><Relationship Id="rId7" Type="http://schemas.openxmlformats.org/officeDocument/2006/relationships/hyperlink" Target="mailto:customer@example.com" TargetMode="External"/><Relationship Id="rId8" Type="http://schemas.openxmlformats.org/officeDocument/2006/relationships/hyperlink" Target="mailto:customer@exampl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haogmail.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16.57"/>
    <col customWidth="1" min="3" max="3" width="72.14"/>
    <col customWidth="1" min="4" max="4" width="55.57"/>
    <col customWidth="1" min="5" max="5" width="15.29"/>
    <col customWidth="1" min="6" max="6" width="49.29"/>
    <col customWidth="1" min="7" max="7" width="46.57"/>
    <col customWidth="1" min="8" max="26" width="10.29"/>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12.75" customHeight="1">
      <c r="A2" s="3"/>
      <c r="B2" s="4"/>
      <c r="C2" s="5" t="s">
        <v>0</v>
      </c>
      <c r="D2" s="6"/>
      <c r="E2" s="6"/>
      <c r="F2" s="6"/>
      <c r="G2" s="7"/>
      <c r="H2" s="8"/>
      <c r="I2" s="8"/>
      <c r="J2" s="8"/>
      <c r="K2" s="8"/>
      <c r="L2" s="8"/>
      <c r="M2" s="8"/>
      <c r="N2" s="8"/>
      <c r="O2" s="8"/>
      <c r="P2" s="8"/>
      <c r="Q2" s="8"/>
      <c r="R2" s="8"/>
      <c r="S2" s="8"/>
      <c r="T2" s="8"/>
      <c r="U2" s="8"/>
      <c r="V2" s="8"/>
      <c r="W2" s="8"/>
      <c r="X2" s="8"/>
      <c r="Y2" s="8"/>
      <c r="Z2" s="8"/>
    </row>
    <row r="3" ht="12.75" customHeight="1">
      <c r="A3" s="1"/>
      <c r="B3" s="9"/>
      <c r="C3" s="10"/>
      <c r="D3" s="1"/>
      <c r="E3" s="1"/>
      <c r="F3" s="11"/>
      <c r="G3" s="1"/>
      <c r="H3" s="1"/>
      <c r="I3" s="1"/>
      <c r="J3" s="1"/>
      <c r="K3" s="1"/>
      <c r="L3" s="1"/>
      <c r="M3" s="1"/>
      <c r="N3" s="1"/>
      <c r="O3" s="1"/>
      <c r="P3" s="1"/>
      <c r="Q3" s="1"/>
      <c r="R3" s="1"/>
      <c r="S3" s="1"/>
      <c r="T3" s="1"/>
      <c r="U3" s="1"/>
      <c r="V3" s="1"/>
      <c r="W3" s="1"/>
      <c r="X3" s="1"/>
      <c r="Y3" s="1"/>
      <c r="Z3" s="1"/>
    </row>
    <row r="4" ht="12.75" customHeight="1">
      <c r="A4" s="1"/>
      <c r="B4" s="12" t="s">
        <v>1</v>
      </c>
      <c r="C4" s="13" t="s">
        <v>2</v>
      </c>
      <c r="D4" s="6"/>
      <c r="E4" s="7"/>
      <c r="F4" s="12" t="s">
        <v>3</v>
      </c>
      <c r="G4" s="14" t="s">
        <v>4</v>
      </c>
      <c r="H4" s="1"/>
      <c r="I4" s="1"/>
      <c r="J4" s="1"/>
      <c r="K4" s="1"/>
      <c r="L4" s="1"/>
      <c r="M4" s="1"/>
      <c r="N4" s="1"/>
      <c r="O4" s="1"/>
      <c r="P4" s="1"/>
      <c r="Q4" s="1"/>
      <c r="R4" s="1"/>
      <c r="S4" s="1"/>
      <c r="T4" s="1"/>
      <c r="U4" s="1"/>
      <c r="V4" s="1"/>
      <c r="W4" s="1"/>
      <c r="X4" s="1"/>
      <c r="Y4" s="1"/>
      <c r="Z4" s="1"/>
    </row>
    <row r="5" ht="12.75" customHeight="1">
      <c r="A5" s="1"/>
      <c r="B5" s="12" t="s">
        <v>5</v>
      </c>
      <c r="C5" s="15" t="s">
        <v>6</v>
      </c>
      <c r="D5" s="6"/>
      <c r="E5" s="7"/>
      <c r="F5" s="12" t="s">
        <v>7</v>
      </c>
      <c r="G5" s="14" t="s">
        <v>8</v>
      </c>
      <c r="H5" s="1"/>
      <c r="I5" s="1"/>
      <c r="J5" s="1"/>
      <c r="K5" s="1"/>
      <c r="L5" s="1"/>
      <c r="M5" s="1"/>
      <c r="N5" s="1"/>
      <c r="O5" s="1"/>
      <c r="P5" s="1"/>
      <c r="Q5" s="1"/>
      <c r="R5" s="1"/>
      <c r="S5" s="1"/>
      <c r="T5" s="1"/>
      <c r="U5" s="1"/>
      <c r="V5" s="1"/>
      <c r="W5" s="1"/>
      <c r="X5" s="1"/>
      <c r="Y5" s="1"/>
      <c r="Z5" s="1"/>
    </row>
    <row r="6" ht="12.75" customHeight="1">
      <c r="A6" s="1"/>
      <c r="B6" s="16" t="s">
        <v>9</v>
      </c>
      <c r="C6" s="17" t="s">
        <v>10</v>
      </c>
      <c r="D6" s="18"/>
      <c r="E6" s="19"/>
      <c r="F6" s="12" t="s">
        <v>11</v>
      </c>
      <c r="G6" s="20" t="s">
        <v>12</v>
      </c>
      <c r="H6" s="1"/>
      <c r="I6" s="1"/>
      <c r="J6" s="1"/>
      <c r="K6" s="1"/>
      <c r="L6" s="1"/>
      <c r="M6" s="1"/>
      <c r="N6" s="1"/>
      <c r="O6" s="1"/>
      <c r="P6" s="1"/>
      <c r="Q6" s="1"/>
      <c r="R6" s="1"/>
      <c r="S6" s="1"/>
      <c r="T6" s="1"/>
      <c r="U6" s="1"/>
      <c r="V6" s="1"/>
      <c r="W6" s="1"/>
      <c r="X6" s="1"/>
      <c r="Y6" s="1"/>
      <c r="Z6" s="1"/>
    </row>
    <row r="7" ht="12.75" customHeight="1">
      <c r="A7" s="1"/>
      <c r="B7" s="21"/>
      <c r="C7" s="22"/>
      <c r="D7" s="23"/>
      <c r="E7" s="24"/>
      <c r="F7" s="12" t="s">
        <v>13</v>
      </c>
      <c r="G7" s="25">
        <v>1.0</v>
      </c>
      <c r="H7" s="1"/>
      <c r="I7" s="1"/>
      <c r="J7" s="1"/>
      <c r="K7" s="1"/>
      <c r="L7" s="1"/>
      <c r="M7" s="1"/>
      <c r="N7" s="1"/>
      <c r="O7" s="1"/>
      <c r="P7" s="1"/>
      <c r="Q7" s="1"/>
      <c r="R7" s="1"/>
      <c r="S7" s="1"/>
      <c r="T7" s="1"/>
      <c r="U7" s="1"/>
      <c r="V7" s="1"/>
      <c r="W7" s="1"/>
      <c r="X7" s="1"/>
      <c r="Y7" s="1"/>
      <c r="Z7" s="1"/>
    </row>
    <row r="8" ht="12.75" customHeight="1">
      <c r="A8" s="1"/>
      <c r="B8" s="26"/>
      <c r="C8" s="10"/>
      <c r="D8" s="1"/>
      <c r="E8" s="1"/>
      <c r="F8" s="9"/>
      <c r="G8" s="10"/>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27" t="s">
        <v>14</v>
      </c>
      <c r="C10" s="1" t="s">
        <v>15</v>
      </c>
      <c r="D10" s="1"/>
      <c r="E10" s="1"/>
      <c r="F10" s="1"/>
      <c r="G10" s="1"/>
      <c r="H10" s="1"/>
      <c r="I10" s="1"/>
      <c r="J10" s="1"/>
      <c r="K10" s="1"/>
      <c r="L10" s="1"/>
      <c r="M10" s="1"/>
      <c r="N10" s="1"/>
      <c r="O10" s="1"/>
      <c r="P10" s="1"/>
      <c r="Q10" s="1"/>
      <c r="R10" s="1"/>
      <c r="S10" s="1"/>
      <c r="T10" s="1"/>
      <c r="U10" s="1"/>
      <c r="V10" s="1"/>
      <c r="W10" s="1"/>
      <c r="X10" s="1"/>
      <c r="Y10" s="1"/>
      <c r="Z10" s="1"/>
    </row>
    <row r="11" ht="12.75" customHeight="1">
      <c r="A11" s="28"/>
      <c r="B11" s="29" t="s">
        <v>16</v>
      </c>
      <c r="C11" s="30" t="s">
        <v>13</v>
      </c>
      <c r="D11" s="30" t="s">
        <v>17</v>
      </c>
      <c r="E11" s="30" t="s">
        <v>18</v>
      </c>
      <c r="F11" s="30" t="s">
        <v>19</v>
      </c>
      <c r="G11" s="31" t="s">
        <v>20</v>
      </c>
      <c r="H11" s="8"/>
      <c r="I11" s="28"/>
      <c r="J11" s="28"/>
      <c r="K11" s="28"/>
      <c r="L11" s="28"/>
      <c r="M11" s="28"/>
      <c r="N11" s="28"/>
      <c r="O11" s="28"/>
      <c r="P11" s="28"/>
      <c r="Q11" s="28"/>
      <c r="R11" s="28"/>
      <c r="S11" s="28"/>
      <c r="T11" s="28"/>
      <c r="U11" s="28"/>
      <c r="V11" s="28"/>
      <c r="W11" s="28"/>
      <c r="X11" s="28"/>
      <c r="Y11" s="28"/>
      <c r="Z11" s="28"/>
    </row>
    <row r="12" ht="12.75" customHeight="1">
      <c r="A12" s="32"/>
      <c r="B12" s="33">
        <f>NOW()</f>
        <v>46202.24998</v>
      </c>
      <c r="C12" s="34" t="s">
        <v>21</v>
      </c>
      <c r="D12" s="32"/>
      <c r="E12" s="35"/>
      <c r="F12" s="36"/>
      <c r="G12" s="37"/>
      <c r="H12" s="32"/>
      <c r="I12" s="32"/>
      <c r="J12" s="32"/>
      <c r="K12" s="32"/>
      <c r="L12" s="32"/>
      <c r="M12" s="32"/>
      <c r="N12" s="32"/>
      <c r="O12" s="32"/>
      <c r="P12" s="32"/>
      <c r="Q12" s="32"/>
      <c r="R12" s="32"/>
      <c r="S12" s="32"/>
      <c r="T12" s="32"/>
      <c r="U12" s="32"/>
      <c r="V12" s="32"/>
      <c r="W12" s="32"/>
      <c r="X12" s="32"/>
      <c r="Y12" s="32"/>
      <c r="Z12" s="32"/>
    </row>
    <row r="13" ht="12.75" customHeight="1">
      <c r="A13" s="32"/>
      <c r="B13" s="33" t="s">
        <v>22</v>
      </c>
      <c r="C13" s="34" t="s">
        <v>23</v>
      </c>
      <c r="D13" s="35" t="s">
        <v>24</v>
      </c>
      <c r="E13" s="35" t="s">
        <v>25</v>
      </c>
      <c r="F13" s="35" t="s">
        <v>26</v>
      </c>
      <c r="G13" s="38" t="s">
        <v>27</v>
      </c>
      <c r="H13" s="32"/>
      <c r="I13" s="32"/>
      <c r="J13" s="32"/>
      <c r="K13" s="32"/>
      <c r="L13" s="32"/>
      <c r="M13" s="32"/>
      <c r="N13" s="32"/>
      <c r="O13" s="32"/>
      <c r="P13" s="32"/>
      <c r="Q13" s="32"/>
      <c r="R13" s="32"/>
      <c r="S13" s="32"/>
      <c r="T13" s="32"/>
      <c r="U13" s="32"/>
      <c r="V13" s="32"/>
      <c r="W13" s="32"/>
      <c r="X13" s="32"/>
      <c r="Y13" s="32"/>
      <c r="Z13" s="32"/>
    </row>
    <row r="14" ht="12.75" customHeight="1">
      <c r="A14" s="32"/>
      <c r="B14" s="33"/>
      <c r="C14" s="34"/>
      <c r="D14" s="35"/>
      <c r="E14" s="35" t="s">
        <v>28</v>
      </c>
      <c r="F14" s="35"/>
      <c r="G14" s="37"/>
      <c r="H14" s="32"/>
      <c r="I14" s="32"/>
      <c r="J14" s="32"/>
      <c r="K14" s="32"/>
      <c r="L14" s="32"/>
      <c r="M14" s="32"/>
      <c r="N14" s="32"/>
      <c r="O14" s="32"/>
      <c r="P14" s="32"/>
      <c r="Q14" s="32"/>
      <c r="R14" s="32"/>
      <c r="S14" s="32"/>
      <c r="T14" s="32"/>
      <c r="U14" s="32"/>
      <c r="V14" s="32"/>
      <c r="W14" s="32"/>
      <c r="X14" s="32"/>
      <c r="Y14" s="32"/>
      <c r="Z14" s="32"/>
    </row>
    <row r="15" ht="12.75" customHeight="1">
      <c r="A15" s="1"/>
      <c r="B15" s="2"/>
      <c r="C15" s="1"/>
      <c r="D15" s="1"/>
      <c r="E15" s="1" t="s">
        <v>29</v>
      </c>
      <c r="F15" s="1"/>
      <c r="G15" s="1"/>
      <c r="H15" s="1"/>
      <c r="I15" s="1"/>
      <c r="J15" s="1"/>
      <c r="K15" s="1"/>
      <c r="L15" s="1"/>
      <c r="M15" s="1"/>
      <c r="N15" s="1"/>
      <c r="O15" s="1"/>
      <c r="P15" s="1"/>
      <c r="Q15" s="1"/>
      <c r="R15" s="1"/>
      <c r="S15" s="1"/>
      <c r="T15" s="1"/>
      <c r="U15" s="1"/>
      <c r="V15" s="1"/>
      <c r="W15" s="1"/>
      <c r="X15" s="1"/>
      <c r="Y15" s="1"/>
      <c r="Z15" s="1"/>
    </row>
    <row r="16" ht="12.75" customHeight="1">
      <c r="A16" s="1"/>
      <c r="B16" s="2"/>
      <c r="C16" s="1"/>
      <c r="D16" s="1"/>
      <c r="E16" s="1"/>
      <c r="F16" s="1"/>
      <c r="H16" s="1"/>
      <c r="I16" s="1"/>
      <c r="J16" s="1"/>
      <c r="K16" s="1"/>
      <c r="L16" s="1"/>
      <c r="M16" s="1"/>
      <c r="N16" s="1"/>
      <c r="O16" s="1"/>
      <c r="P16" s="1"/>
      <c r="Q16" s="1"/>
      <c r="R16" s="1"/>
      <c r="S16" s="1"/>
      <c r="T16" s="1"/>
      <c r="U16" s="1"/>
      <c r="V16" s="1"/>
      <c r="W16" s="1"/>
      <c r="X16" s="1"/>
      <c r="Y16" s="1"/>
      <c r="Z16" s="1"/>
    </row>
    <row r="17" ht="12.75" customHeight="1">
      <c r="A17" s="1"/>
      <c r="B17" s="39" t="s">
        <v>30</v>
      </c>
      <c r="C17" s="1">
        <v>5.0</v>
      </c>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2"/>
      <c r="C18" s="1"/>
      <c r="D18" s="39" t="s">
        <v>31</v>
      </c>
      <c r="E18" s="1"/>
      <c r="F18" s="1"/>
      <c r="G18" s="1"/>
      <c r="H18" s="1"/>
      <c r="I18" s="1"/>
      <c r="J18" s="1"/>
      <c r="K18" s="1"/>
      <c r="L18" s="1"/>
      <c r="M18" s="1"/>
      <c r="N18" s="1"/>
      <c r="O18" s="1"/>
      <c r="P18" s="1"/>
      <c r="Q18" s="1"/>
      <c r="R18" s="1"/>
      <c r="S18" s="1"/>
      <c r="T18" s="1"/>
      <c r="U18" s="1"/>
      <c r="V18" s="1"/>
      <c r="W18" s="1"/>
      <c r="X18" s="1"/>
      <c r="Y18" s="1"/>
      <c r="Z18" s="1"/>
    </row>
    <row r="19">
      <c r="A19" s="1"/>
      <c r="B19" s="40" t="s">
        <v>32</v>
      </c>
      <c r="C19" s="41" t="s">
        <v>33</v>
      </c>
      <c r="D19" s="42" t="s">
        <v>34</v>
      </c>
      <c r="E19" s="43"/>
      <c r="F19" s="44"/>
      <c r="G19" s="45"/>
      <c r="H19" s="1"/>
      <c r="I19" s="1"/>
      <c r="J19" s="1"/>
      <c r="K19" s="1"/>
      <c r="L19" s="1"/>
      <c r="M19" s="1"/>
      <c r="N19" s="1"/>
      <c r="O19" s="1"/>
      <c r="P19" s="1"/>
      <c r="Q19" s="1"/>
      <c r="R19" s="1"/>
      <c r="S19" s="1"/>
      <c r="T19" s="1"/>
      <c r="U19" s="1"/>
      <c r="V19" s="1"/>
      <c r="W19" s="1"/>
      <c r="X19" s="1"/>
      <c r="Y19" s="1"/>
      <c r="Z19" s="1"/>
    </row>
    <row r="20">
      <c r="A20" s="1"/>
      <c r="B20" s="46">
        <v>1.0</v>
      </c>
      <c r="C20" s="47" t="s">
        <v>35</v>
      </c>
      <c r="D20" s="48" t="s">
        <v>36</v>
      </c>
      <c r="E20" s="49"/>
      <c r="F20" s="50"/>
      <c r="G20" s="45"/>
      <c r="H20" s="1"/>
      <c r="I20" s="1"/>
      <c r="J20" s="1"/>
      <c r="K20" s="1"/>
      <c r="L20" s="1"/>
      <c r="M20" s="1"/>
      <c r="N20" s="1"/>
      <c r="O20" s="1"/>
      <c r="P20" s="1"/>
      <c r="Q20" s="1"/>
      <c r="R20" s="1"/>
      <c r="S20" s="1"/>
      <c r="T20" s="1"/>
      <c r="U20" s="1"/>
      <c r="V20" s="1"/>
      <c r="W20" s="1"/>
      <c r="X20" s="1"/>
      <c r="Y20" s="1"/>
      <c r="Z20" s="1"/>
    </row>
    <row r="21">
      <c r="A21" s="1"/>
      <c r="B21" s="46">
        <v>2.0</v>
      </c>
      <c r="C21" s="47" t="s">
        <v>37</v>
      </c>
      <c r="D21" s="48" t="s">
        <v>36</v>
      </c>
      <c r="E21" s="49"/>
      <c r="F21" s="50"/>
      <c r="G21" s="45"/>
      <c r="H21" s="1"/>
      <c r="I21" s="1"/>
      <c r="J21" s="1"/>
      <c r="K21" s="1"/>
      <c r="L21" s="1"/>
      <c r="M21" s="1"/>
      <c r="N21" s="1"/>
      <c r="O21" s="1"/>
      <c r="P21" s="1"/>
      <c r="Q21" s="1"/>
      <c r="R21" s="1"/>
      <c r="S21" s="1"/>
      <c r="T21" s="1"/>
      <c r="U21" s="1"/>
      <c r="V21" s="1"/>
      <c r="W21" s="1"/>
      <c r="X21" s="1"/>
      <c r="Y21" s="1"/>
      <c r="Z21" s="1"/>
    </row>
    <row r="22">
      <c r="A22" s="1"/>
      <c r="B22" s="46">
        <v>3.0</v>
      </c>
      <c r="C22" s="47" t="s">
        <v>38</v>
      </c>
      <c r="D22" s="51" t="s">
        <v>39</v>
      </c>
      <c r="E22" s="52"/>
      <c r="F22" s="50"/>
      <c r="G22" s="45"/>
      <c r="H22" s="1"/>
      <c r="I22" s="1"/>
      <c r="J22" s="1"/>
      <c r="K22" s="1"/>
      <c r="L22" s="1"/>
      <c r="M22" s="1"/>
      <c r="N22" s="1"/>
      <c r="O22" s="1"/>
      <c r="P22" s="1"/>
      <c r="Q22" s="1"/>
      <c r="R22" s="1"/>
      <c r="S22" s="1"/>
      <c r="T22" s="1"/>
      <c r="U22" s="1"/>
      <c r="V22" s="1"/>
      <c r="W22" s="1"/>
      <c r="X22" s="1"/>
      <c r="Y22" s="1"/>
      <c r="Z22" s="1"/>
    </row>
    <row r="23">
      <c r="A23" s="1"/>
      <c r="B23" s="46">
        <v>4.0</v>
      </c>
      <c r="C23" s="47" t="s">
        <v>40</v>
      </c>
      <c r="D23" s="53" t="s">
        <v>41</v>
      </c>
      <c r="E23" s="54"/>
      <c r="F23" s="50"/>
      <c r="G23" s="45"/>
      <c r="H23" s="1"/>
      <c r="I23" s="1"/>
      <c r="J23" s="1"/>
      <c r="K23" s="1"/>
      <c r="L23" s="1"/>
      <c r="M23" s="1"/>
      <c r="N23" s="1"/>
      <c r="O23" s="1"/>
      <c r="P23" s="1"/>
      <c r="Q23" s="1"/>
      <c r="R23" s="1"/>
      <c r="S23" s="1"/>
      <c r="T23" s="1"/>
      <c r="U23" s="1"/>
      <c r="V23" s="1"/>
      <c r="W23" s="1"/>
      <c r="X23" s="1"/>
      <c r="Y23" s="1"/>
      <c r="Z23" s="1"/>
    </row>
    <row r="24">
      <c r="A24" s="1"/>
      <c r="B24" s="46">
        <v>5.0</v>
      </c>
      <c r="C24" s="55" t="s">
        <v>42</v>
      </c>
      <c r="D24" s="53" t="s">
        <v>43</v>
      </c>
      <c r="E24" s="52"/>
      <c r="F24" s="56"/>
      <c r="G24" s="45"/>
      <c r="H24" s="1"/>
      <c r="I24" s="1"/>
      <c r="J24" s="1"/>
      <c r="K24" s="1"/>
      <c r="L24" s="1"/>
      <c r="M24" s="1"/>
      <c r="N24" s="1"/>
      <c r="O24" s="1"/>
      <c r="P24" s="1"/>
      <c r="Q24" s="1"/>
      <c r="R24" s="1"/>
      <c r="S24" s="1"/>
      <c r="T24" s="1"/>
      <c r="U24" s="1"/>
      <c r="V24" s="1"/>
      <c r="W24" s="1"/>
      <c r="X24" s="1"/>
      <c r="Y24" s="1"/>
      <c r="Z24" s="1"/>
    </row>
    <row r="25">
      <c r="A25" s="1"/>
      <c r="B25" s="46">
        <v>6.0</v>
      </c>
      <c r="C25" s="47" t="s">
        <v>44</v>
      </c>
      <c r="D25" s="48" t="s">
        <v>41</v>
      </c>
      <c r="E25" s="49"/>
      <c r="F25" s="50"/>
      <c r="G25" s="56"/>
      <c r="H25" s="1"/>
      <c r="I25" s="1"/>
      <c r="J25" s="1"/>
      <c r="K25" s="1"/>
      <c r="L25" s="1"/>
      <c r="M25" s="1"/>
      <c r="N25" s="1"/>
      <c r="O25" s="1"/>
      <c r="P25" s="1"/>
      <c r="Q25" s="1"/>
      <c r="R25" s="1"/>
      <c r="S25" s="1"/>
      <c r="T25" s="1"/>
      <c r="U25" s="1"/>
      <c r="V25" s="1"/>
      <c r="W25" s="1"/>
      <c r="X25" s="1"/>
      <c r="Y25" s="1"/>
      <c r="Z25" s="1"/>
    </row>
    <row r="26">
      <c r="A26" s="1"/>
      <c r="B26" s="2"/>
      <c r="C26" s="1"/>
      <c r="D26" s="1"/>
      <c r="E26" s="1"/>
      <c r="F26" s="1"/>
      <c r="G26" s="1" t="s">
        <v>45</v>
      </c>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86"/>
    <col customWidth="1" min="2" max="2" width="41.29"/>
    <col customWidth="1" min="3" max="3" width="163.43"/>
    <col customWidth="1" min="4" max="26" width="10.29"/>
  </cols>
  <sheetData>
    <row r="1">
      <c r="A1" s="57"/>
      <c r="B1" s="58"/>
      <c r="C1" s="59" t="s">
        <v>46</v>
      </c>
      <c r="D1" s="60"/>
      <c r="E1" s="60"/>
      <c r="F1" s="60"/>
      <c r="G1" s="60"/>
      <c r="H1" s="60"/>
      <c r="I1" s="60"/>
      <c r="J1" s="60"/>
      <c r="K1" s="60"/>
      <c r="L1" s="60"/>
      <c r="M1" s="60"/>
      <c r="N1" s="60"/>
      <c r="O1" s="60"/>
      <c r="P1" s="60"/>
      <c r="Q1" s="60"/>
      <c r="R1" s="60"/>
      <c r="S1" s="60"/>
      <c r="T1" s="60"/>
      <c r="U1" s="60"/>
      <c r="V1" s="60"/>
      <c r="W1" s="60"/>
      <c r="X1" s="60"/>
      <c r="Y1" s="60"/>
      <c r="Z1" s="60"/>
    </row>
    <row r="2">
      <c r="A2" s="57"/>
      <c r="B2" s="58"/>
      <c r="C2" s="61"/>
      <c r="D2" s="60"/>
      <c r="E2" s="60"/>
      <c r="F2" s="60"/>
      <c r="G2" s="60"/>
      <c r="H2" s="60"/>
      <c r="I2" s="60"/>
      <c r="J2" s="60"/>
      <c r="K2" s="60"/>
      <c r="L2" s="60"/>
      <c r="M2" s="60"/>
      <c r="N2" s="60"/>
      <c r="O2" s="60"/>
      <c r="P2" s="60"/>
      <c r="Q2" s="60"/>
      <c r="R2" s="60"/>
      <c r="S2" s="60"/>
      <c r="T2" s="60"/>
      <c r="U2" s="60"/>
      <c r="V2" s="60"/>
      <c r="W2" s="60"/>
      <c r="X2" s="60"/>
      <c r="Y2" s="60"/>
      <c r="Z2" s="60"/>
    </row>
    <row r="3">
      <c r="A3" s="62" t="s">
        <v>1</v>
      </c>
      <c r="B3" s="62"/>
      <c r="C3" s="63" t="s">
        <v>2</v>
      </c>
      <c r="D3" s="60"/>
      <c r="E3" s="60"/>
      <c r="F3" s="60"/>
      <c r="G3" s="60"/>
      <c r="H3" s="60"/>
      <c r="I3" s="60"/>
      <c r="J3" s="60"/>
      <c r="K3" s="60"/>
      <c r="L3" s="60"/>
      <c r="M3" s="60"/>
      <c r="N3" s="60"/>
      <c r="O3" s="60"/>
      <c r="P3" s="60"/>
      <c r="Q3" s="60"/>
      <c r="R3" s="60"/>
      <c r="S3" s="60"/>
      <c r="T3" s="60"/>
      <c r="U3" s="60"/>
      <c r="V3" s="60"/>
      <c r="W3" s="60"/>
      <c r="X3" s="60"/>
      <c r="Y3" s="60"/>
      <c r="Z3" s="60"/>
    </row>
    <row r="4">
      <c r="A4" s="64" t="s">
        <v>5</v>
      </c>
      <c r="B4" s="64"/>
      <c r="C4" s="65" t="s">
        <v>6</v>
      </c>
      <c r="D4" s="60"/>
      <c r="E4" s="60"/>
      <c r="F4" s="60"/>
      <c r="G4" s="60"/>
      <c r="H4" s="60"/>
      <c r="I4" s="60"/>
      <c r="J4" s="60"/>
      <c r="K4" s="60"/>
      <c r="L4" s="60"/>
      <c r="M4" s="60"/>
      <c r="N4" s="60"/>
      <c r="O4" s="60"/>
      <c r="P4" s="60"/>
      <c r="Q4" s="60"/>
      <c r="R4" s="60"/>
      <c r="S4" s="60"/>
      <c r="T4" s="60"/>
      <c r="U4" s="60"/>
      <c r="V4" s="60"/>
      <c r="W4" s="60"/>
      <c r="X4" s="60"/>
      <c r="Y4" s="60"/>
      <c r="Z4" s="60"/>
    </row>
    <row r="5">
      <c r="A5" s="66"/>
      <c r="B5" s="66"/>
      <c r="C5" s="67"/>
      <c r="D5" s="68"/>
      <c r="E5" s="68"/>
      <c r="F5" s="68"/>
      <c r="G5" s="68"/>
      <c r="H5" s="68"/>
      <c r="I5" s="68"/>
      <c r="J5" s="68"/>
      <c r="K5" s="68"/>
      <c r="L5" s="68"/>
      <c r="M5" s="68"/>
      <c r="N5" s="68"/>
      <c r="O5" s="68"/>
      <c r="P5" s="68"/>
      <c r="Q5" s="68"/>
      <c r="R5" s="68"/>
      <c r="S5" s="68"/>
      <c r="T5" s="68"/>
      <c r="U5" s="68"/>
      <c r="V5" s="68"/>
      <c r="W5" s="68"/>
      <c r="X5" s="68"/>
      <c r="Y5" s="68"/>
      <c r="Z5" s="68"/>
    </row>
    <row r="6">
      <c r="A6" s="69"/>
      <c r="B6" s="69"/>
      <c r="C6" s="70"/>
      <c r="D6" s="69"/>
      <c r="E6" s="69"/>
      <c r="F6" s="69"/>
      <c r="G6" s="69"/>
      <c r="H6" s="69"/>
      <c r="I6" s="69"/>
      <c r="J6" s="69"/>
      <c r="K6" s="69"/>
      <c r="L6" s="69"/>
      <c r="M6" s="69"/>
      <c r="N6" s="69"/>
      <c r="O6" s="69"/>
      <c r="P6" s="69"/>
      <c r="Q6" s="69"/>
      <c r="R6" s="69"/>
      <c r="S6" s="69"/>
      <c r="T6" s="69"/>
      <c r="U6" s="69"/>
      <c r="V6" s="69"/>
      <c r="W6" s="69"/>
      <c r="X6" s="69"/>
      <c r="Y6" s="69"/>
      <c r="Z6" s="69"/>
    </row>
    <row r="7">
      <c r="A7" s="71" t="s">
        <v>47</v>
      </c>
      <c r="B7" s="72" t="s">
        <v>48</v>
      </c>
      <c r="C7" s="71" t="s">
        <v>49</v>
      </c>
      <c r="D7" s="69"/>
      <c r="E7" s="69"/>
      <c r="F7" s="69"/>
      <c r="G7" s="69"/>
      <c r="H7" s="69"/>
      <c r="I7" s="69"/>
      <c r="J7" s="69"/>
      <c r="K7" s="69"/>
      <c r="L7" s="69"/>
      <c r="M7" s="69"/>
      <c r="N7" s="69"/>
      <c r="O7" s="69"/>
      <c r="P7" s="69"/>
      <c r="Q7" s="69"/>
      <c r="R7" s="69"/>
      <c r="S7" s="69"/>
      <c r="T7" s="69"/>
      <c r="U7" s="69"/>
      <c r="V7" s="69"/>
      <c r="W7" s="69"/>
      <c r="X7" s="69"/>
      <c r="Y7" s="69"/>
      <c r="Z7" s="69"/>
    </row>
    <row r="8">
      <c r="A8" s="73" t="s">
        <v>50</v>
      </c>
      <c r="B8" s="74" t="s">
        <v>51</v>
      </c>
      <c r="C8" s="75" t="s">
        <v>52</v>
      </c>
      <c r="D8" s="69"/>
      <c r="E8" s="69"/>
      <c r="F8" s="69"/>
      <c r="G8" s="69"/>
      <c r="H8" s="69"/>
      <c r="I8" s="69"/>
      <c r="J8" s="69"/>
      <c r="K8" s="69"/>
      <c r="L8" s="69"/>
      <c r="M8" s="69"/>
      <c r="N8" s="69"/>
      <c r="O8" s="69"/>
      <c r="P8" s="69"/>
      <c r="Q8" s="69"/>
      <c r="R8" s="69"/>
      <c r="S8" s="69"/>
      <c r="T8" s="69"/>
      <c r="U8" s="69"/>
      <c r="V8" s="69"/>
      <c r="W8" s="69"/>
      <c r="X8" s="69"/>
      <c r="Y8" s="69"/>
      <c r="Z8" s="69"/>
    </row>
    <row r="9">
      <c r="A9" s="76"/>
      <c r="B9" s="77"/>
      <c r="C9" s="78" t="s">
        <v>53</v>
      </c>
      <c r="D9" s="69"/>
      <c r="E9" s="69"/>
      <c r="F9" s="69"/>
      <c r="G9" s="69"/>
      <c r="H9" s="69"/>
      <c r="I9" s="69"/>
      <c r="J9" s="69"/>
      <c r="K9" s="69"/>
      <c r="L9" s="69"/>
      <c r="M9" s="69"/>
      <c r="N9" s="69"/>
      <c r="O9" s="69"/>
      <c r="P9" s="69"/>
      <c r="Q9" s="69"/>
      <c r="R9" s="69"/>
      <c r="S9" s="69"/>
      <c r="T9" s="69"/>
      <c r="U9" s="69"/>
      <c r="V9" s="69"/>
      <c r="W9" s="69"/>
      <c r="X9" s="69"/>
      <c r="Y9" s="69"/>
      <c r="Z9" s="69"/>
    </row>
    <row r="10">
      <c r="A10" s="76"/>
      <c r="B10" s="79" t="s">
        <v>54</v>
      </c>
      <c r="C10" s="80" t="s">
        <v>55</v>
      </c>
      <c r="D10" s="69"/>
      <c r="E10" s="69"/>
      <c r="F10" s="69"/>
      <c r="G10" s="69"/>
      <c r="H10" s="69"/>
      <c r="I10" s="69"/>
      <c r="J10" s="69"/>
      <c r="K10" s="69"/>
      <c r="L10" s="69"/>
      <c r="M10" s="69"/>
      <c r="N10" s="69"/>
      <c r="O10" s="69"/>
      <c r="P10" s="69"/>
      <c r="Q10" s="69"/>
      <c r="R10" s="69"/>
      <c r="S10" s="69"/>
      <c r="T10" s="69"/>
      <c r="U10" s="69"/>
      <c r="V10" s="69"/>
      <c r="W10" s="69"/>
      <c r="X10" s="69"/>
      <c r="Y10" s="69"/>
      <c r="Z10" s="69"/>
    </row>
    <row r="11">
      <c r="A11" s="76"/>
      <c r="B11" s="77"/>
      <c r="C11" s="81" t="s">
        <v>56</v>
      </c>
      <c r="D11" s="69"/>
      <c r="E11" s="69"/>
      <c r="F11" s="69"/>
      <c r="G11" s="69"/>
      <c r="H11" s="69"/>
      <c r="I11" s="69"/>
      <c r="J11" s="69"/>
      <c r="K11" s="69"/>
      <c r="L11" s="69"/>
      <c r="M11" s="69"/>
      <c r="N11" s="69"/>
      <c r="O11" s="69"/>
      <c r="P11" s="69"/>
      <c r="Q11" s="69"/>
      <c r="R11" s="69"/>
      <c r="S11" s="69"/>
      <c r="T11" s="69"/>
      <c r="U11" s="69"/>
      <c r="V11" s="69"/>
      <c r="W11" s="69"/>
      <c r="X11" s="69"/>
      <c r="Y11" s="69"/>
      <c r="Z11" s="69"/>
    </row>
    <row r="12">
      <c r="A12" s="76"/>
      <c r="B12" s="79" t="s">
        <v>57</v>
      </c>
      <c r="C12" s="82" t="s">
        <v>58</v>
      </c>
      <c r="D12" s="69"/>
      <c r="E12" s="69"/>
      <c r="F12" s="69"/>
      <c r="G12" s="69"/>
      <c r="H12" s="69"/>
      <c r="I12" s="69"/>
      <c r="J12" s="69"/>
      <c r="K12" s="69"/>
      <c r="L12" s="69"/>
      <c r="M12" s="69"/>
      <c r="N12" s="69"/>
      <c r="O12" s="69"/>
      <c r="P12" s="69"/>
      <c r="Q12" s="69"/>
      <c r="R12" s="69"/>
      <c r="S12" s="69"/>
      <c r="T12" s="69"/>
      <c r="U12" s="69"/>
      <c r="V12" s="69"/>
      <c r="W12" s="69"/>
      <c r="X12" s="69"/>
      <c r="Y12" s="69"/>
      <c r="Z12" s="69"/>
    </row>
    <row r="13">
      <c r="A13" s="76"/>
      <c r="B13" s="77"/>
      <c r="C13" s="83" t="s">
        <v>59</v>
      </c>
      <c r="D13" s="84"/>
      <c r="E13" s="69"/>
      <c r="F13" s="69"/>
      <c r="G13" s="69"/>
      <c r="H13" s="69"/>
      <c r="I13" s="69"/>
      <c r="J13" s="69"/>
      <c r="K13" s="69"/>
      <c r="L13" s="69"/>
      <c r="M13" s="69"/>
      <c r="N13" s="69"/>
      <c r="O13" s="69"/>
      <c r="P13" s="69"/>
      <c r="Q13" s="69"/>
      <c r="R13" s="69"/>
      <c r="S13" s="69"/>
      <c r="T13" s="69"/>
      <c r="U13" s="69"/>
      <c r="V13" s="69"/>
      <c r="W13" s="69"/>
      <c r="X13" s="69"/>
      <c r="Y13" s="69"/>
      <c r="Z13" s="69"/>
    </row>
    <row r="14">
      <c r="A14" s="76"/>
      <c r="B14" s="85" t="s">
        <v>60</v>
      </c>
      <c r="C14" s="82" t="s">
        <v>61</v>
      </c>
      <c r="D14" s="84"/>
      <c r="E14" s="69"/>
      <c r="F14" s="69"/>
      <c r="G14" s="69"/>
      <c r="H14" s="69"/>
      <c r="I14" s="69"/>
      <c r="J14" s="69"/>
      <c r="K14" s="69"/>
      <c r="L14" s="69"/>
      <c r="M14" s="69"/>
      <c r="N14" s="69"/>
      <c r="O14" s="69"/>
      <c r="P14" s="69"/>
      <c r="Q14" s="69"/>
      <c r="R14" s="69"/>
      <c r="S14" s="69"/>
      <c r="T14" s="69"/>
      <c r="U14" s="69"/>
      <c r="V14" s="69"/>
      <c r="W14" s="69"/>
      <c r="X14" s="69"/>
      <c r="Y14" s="69"/>
      <c r="Z14" s="69"/>
    </row>
    <row r="15">
      <c r="A15" s="76"/>
      <c r="B15" s="77"/>
      <c r="C15" s="78" t="s">
        <v>62</v>
      </c>
      <c r="D15" s="84"/>
      <c r="E15" s="69"/>
      <c r="F15" s="69"/>
      <c r="G15" s="69"/>
      <c r="H15" s="69"/>
      <c r="I15" s="69"/>
      <c r="J15" s="69"/>
      <c r="K15" s="69"/>
      <c r="L15" s="69"/>
      <c r="M15" s="69"/>
      <c r="N15" s="69"/>
      <c r="O15" s="69"/>
      <c r="P15" s="69"/>
      <c r="Q15" s="69"/>
      <c r="R15" s="69"/>
      <c r="S15" s="69"/>
      <c r="T15" s="69"/>
      <c r="U15" s="69"/>
      <c r="V15" s="69"/>
      <c r="W15" s="69"/>
      <c r="X15" s="69"/>
      <c r="Y15" s="69"/>
      <c r="Z15" s="69"/>
    </row>
    <row r="16">
      <c r="A16" s="76"/>
      <c r="B16" s="85" t="s">
        <v>63</v>
      </c>
      <c r="C16" s="82" t="s">
        <v>64</v>
      </c>
      <c r="D16" s="84"/>
      <c r="E16" s="69"/>
      <c r="F16" s="69"/>
      <c r="G16" s="69"/>
      <c r="H16" s="69"/>
      <c r="I16" s="69"/>
      <c r="J16" s="69"/>
      <c r="K16" s="69"/>
      <c r="L16" s="69"/>
      <c r="M16" s="69"/>
      <c r="N16" s="69"/>
      <c r="O16" s="69"/>
      <c r="P16" s="69"/>
      <c r="Q16" s="69"/>
      <c r="R16" s="69"/>
      <c r="S16" s="69"/>
      <c r="T16" s="69"/>
      <c r="U16" s="69"/>
      <c r="V16" s="69"/>
      <c r="W16" s="69"/>
      <c r="X16" s="69"/>
      <c r="Y16" s="69"/>
      <c r="Z16" s="69"/>
    </row>
    <row r="17">
      <c r="A17" s="86"/>
      <c r="B17" s="87"/>
      <c r="C17" s="88" t="s">
        <v>65</v>
      </c>
      <c r="D17" s="84"/>
      <c r="E17" s="69"/>
      <c r="F17" s="69"/>
      <c r="G17" s="69"/>
      <c r="H17" s="69"/>
      <c r="I17" s="69"/>
      <c r="J17" s="69"/>
      <c r="K17" s="69"/>
      <c r="L17" s="69"/>
      <c r="M17" s="69"/>
      <c r="N17" s="69"/>
      <c r="O17" s="69"/>
      <c r="P17" s="69"/>
      <c r="Q17" s="69"/>
      <c r="R17" s="69"/>
      <c r="S17" s="69"/>
      <c r="T17" s="69"/>
      <c r="U17" s="69"/>
      <c r="V17" s="69"/>
      <c r="W17" s="69"/>
      <c r="X17" s="69"/>
      <c r="Y17" s="69"/>
      <c r="Z17" s="69"/>
    </row>
    <row r="18">
      <c r="A18" s="89" t="s">
        <v>66</v>
      </c>
      <c r="B18" s="90" t="s">
        <v>67</v>
      </c>
      <c r="C18" s="91" t="s">
        <v>68</v>
      </c>
      <c r="D18" s="84"/>
      <c r="E18" s="69"/>
      <c r="F18" s="69"/>
      <c r="G18" s="69"/>
      <c r="H18" s="69"/>
      <c r="I18" s="69"/>
      <c r="J18" s="69"/>
      <c r="K18" s="69"/>
      <c r="L18" s="69"/>
      <c r="M18" s="69"/>
      <c r="N18" s="69"/>
      <c r="O18" s="69"/>
      <c r="P18" s="69"/>
      <c r="Q18" s="69"/>
      <c r="R18" s="69"/>
      <c r="S18" s="69"/>
      <c r="T18" s="69"/>
      <c r="U18" s="69"/>
      <c r="V18" s="69"/>
      <c r="W18" s="69"/>
      <c r="X18" s="69"/>
      <c r="Y18" s="69"/>
      <c r="Z18" s="69"/>
    </row>
    <row r="19">
      <c r="A19" s="92"/>
      <c r="B19" s="77"/>
      <c r="C19" s="93" t="s">
        <v>69</v>
      </c>
      <c r="D19" s="69"/>
      <c r="E19" s="69"/>
      <c r="F19" s="69"/>
      <c r="G19" s="69"/>
      <c r="H19" s="69"/>
      <c r="I19" s="69"/>
      <c r="J19" s="69"/>
      <c r="K19" s="69"/>
      <c r="L19" s="69"/>
      <c r="M19" s="69"/>
      <c r="N19" s="69"/>
      <c r="O19" s="69"/>
      <c r="P19" s="69"/>
      <c r="Q19" s="69"/>
      <c r="R19" s="69"/>
      <c r="S19" s="69"/>
      <c r="T19" s="69"/>
      <c r="U19" s="69"/>
      <c r="V19" s="69"/>
      <c r="W19" s="69"/>
      <c r="X19" s="69"/>
      <c r="Y19" s="69"/>
      <c r="Z19" s="69"/>
    </row>
    <row r="20">
      <c r="A20" s="92"/>
      <c r="B20" s="79" t="s">
        <v>70</v>
      </c>
      <c r="C20" s="94" t="s">
        <v>71</v>
      </c>
      <c r="D20" s="69"/>
      <c r="E20" s="69"/>
      <c r="F20" s="69"/>
      <c r="G20" s="69"/>
      <c r="H20" s="69"/>
      <c r="I20" s="69"/>
      <c r="J20" s="69"/>
      <c r="K20" s="69"/>
      <c r="L20" s="69"/>
      <c r="M20" s="69"/>
      <c r="N20" s="69"/>
      <c r="O20" s="69"/>
      <c r="P20" s="69"/>
      <c r="Q20" s="69"/>
      <c r="R20" s="69"/>
      <c r="S20" s="69"/>
      <c r="T20" s="69"/>
      <c r="U20" s="69"/>
      <c r="V20" s="69"/>
      <c r="W20" s="69"/>
      <c r="X20" s="69"/>
      <c r="Y20" s="69"/>
      <c r="Z20" s="69"/>
    </row>
    <row r="21" ht="15.75" customHeight="1">
      <c r="A21" s="92"/>
      <c r="B21" s="77"/>
      <c r="C21" s="95" t="s">
        <v>72</v>
      </c>
      <c r="D21" s="69"/>
      <c r="E21" s="69"/>
      <c r="F21" s="69"/>
      <c r="G21" s="69"/>
      <c r="H21" s="69"/>
      <c r="I21" s="69"/>
      <c r="J21" s="69"/>
      <c r="K21" s="69"/>
      <c r="L21" s="69"/>
      <c r="M21" s="69"/>
      <c r="N21" s="69"/>
      <c r="O21" s="69"/>
      <c r="P21" s="69"/>
      <c r="Q21" s="69"/>
      <c r="R21" s="69"/>
      <c r="S21" s="69"/>
      <c r="T21" s="69"/>
      <c r="U21" s="69"/>
      <c r="V21" s="69"/>
      <c r="W21" s="69"/>
      <c r="X21" s="69"/>
      <c r="Y21" s="69"/>
      <c r="Z21" s="69"/>
    </row>
    <row r="22" ht="15.75" customHeight="1">
      <c r="A22" s="92"/>
      <c r="B22" s="79" t="s">
        <v>73</v>
      </c>
      <c r="C22" s="96" t="s">
        <v>74</v>
      </c>
      <c r="D22" s="69"/>
      <c r="E22" s="69"/>
      <c r="F22" s="69"/>
      <c r="G22" s="69"/>
      <c r="H22" s="69"/>
      <c r="I22" s="69"/>
      <c r="J22" s="69"/>
      <c r="K22" s="69"/>
      <c r="L22" s="69"/>
      <c r="M22" s="69"/>
      <c r="N22" s="69"/>
      <c r="O22" s="69"/>
      <c r="P22" s="69"/>
      <c r="Q22" s="69"/>
      <c r="R22" s="69"/>
      <c r="S22" s="69"/>
      <c r="T22" s="69"/>
      <c r="U22" s="69"/>
      <c r="V22" s="69"/>
      <c r="W22" s="69"/>
      <c r="X22" s="69"/>
      <c r="Y22" s="69"/>
      <c r="Z22" s="69"/>
    </row>
    <row r="23" ht="15.75" customHeight="1">
      <c r="A23" s="92"/>
      <c r="B23" s="77"/>
      <c r="C23" s="93" t="s">
        <v>75</v>
      </c>
      <c r="D23" s="69"/>
      <c r="E23" s="69"/>
      <c r="F23" s="69"/>
      <c r="G23" s="69"/>
      <c r="H23" s="69"/>
      <c r="I23" s="69"/>
      <c r="J23" s="69"/>
      <c r="K23" s="69"/>
      <c r="L23" s="69"/>
      <c r="M23" s="69"/>
      <c r="N23" s="69"/>
      <c r="O23" s="69"/>
      <c r="P23" s="69"/>
      <c r="Q23" s="69"/>
      <c r="R23" s="69"/>
      <c r="S23" s="69"/>
      <c r="T23" s="69"/>
      <c r="U23" s="69"/>
      <c r="V23" s="69"/>
      <c r="W23" s="69"/>
      <c r="X23" s="69"/>
      <c r="Y23" s="69"/>
      <c r="Z23" s="69"/>
    </row>
    <row r="24" ht="15.75" customHeight="1">
      <c r="A24" s="92"/>
      <c r="B24" s="79" t="s">
        <v>76</v>
      </c>
      <c r="C24" s="96" t="s">
        <v>77</v>
      </c>
      <c r="D24" s="69"/>
      <c r="E24" s="69"/>
      <c r="F24" s="69"/>
      <c r="G24" s="69"/>
      <c r="H24" s="69"/>
      <c r="I24" s="69"/>
      <c r="J24" s="69"/>
      <c r="K24" s="69"/>
      <c r="L24" s="69"/>
      <c r="M24" s="69"/>
      <c r="N24" s="69"/>
      <c r="O24" s="69"/>
      <c r="P24" s="69"/>
      <c r="Q24" s="69"/>
      <c r="R24" s="69"/>
      <c r="S24" s="69"/>
      <c r="T24" s="69"/>
      <c r="U24" s="69"/>
      <c r="V24" s="69"/>
      <c r="W24" s="69"/>
      <c r="X24" s="69"/>
      <c r="Y24" s="69"/>
      <c r="Z24" s="69"/>
    </row>
    <row r="25" ht="15.75" customHeight="1">
      <c r="A25" s="92"/>
      <c r="B25" s="77"/>
      <c r="C25" s="97" t="s">
        <v>78</v>
      </c>
      <c r="D25" s="69"/>
      <c r="E25" s="69"/>
      <c r="F25" s="69"/>
      <c r="G25" s="69"/>
      <c r="H25" s="69"/>
      <c r="I25" s="69"/>
      <c r="J25" s="69"/>
      <c r="K25" s="69"/>
      <c r="L25" s="69"/>
      <c r="M25" s="69"/>
      <c r="N25" s="69"/>
      <c r="O25" s="69"/>
      <c r="P25" s="69"/>
      <c r="Q25" s="69"/>
      <c r="R25" s="69"/>
      <c r="S25" s="69"/>
      <c r="T25" s="69"/>
      <c r="U25" s="69"/>
      <c r="V25" s="69"/>
      <c r="W25" s="69"/>
      <c r="X25" s="69"/>
      <c r="Y25" s="69"/>
      <c r="Z25" s="69"/>
    </row>
    <row r="26" ht="15.75" customHeight="1">
      <c r="A26" s="92"/>
      <c r="B26" s="98" t="s">
        <v>79</v>
      </c>
      <c r="C26" s="94" t="s">
        <v>80</v>
      </c>
      <c r="D26" s="69"/>
      <c r="E26" s="69"/>
      <c r="F26" s="69"/>
      <c r="G26" s="69"/>
      <c r="H26" s="69"/>
      <c r="I26" s="69"/>
      <c r="J26" s="69"/>
      <c r="K26" s="69"/>
      <c r="L26" s="69"/>
      <c r="M26" s="69"/>
      <c r="N26" s="69"/>
      <c r="O26" s="69"/>
      <c r="P26" s="69"/>
      <c r="Q26" s="69"/>
      <c r="R26" s="69"/>
      <c r="S26" s="69"/>
      <c r="T26" s="69"/>
      <c r="U26" s="69"/>
      <c r="V26" s="69"/>
      <c r="W26" s="69"/>
      <c r="X26" s="69"/>
      <c r="Y26" s="69"/>
      <c r="Z26" s="69"/>
    </row>
    <row r="27" ht="15.75" customHeight="1">
      <c r="A27" s="92"/>
      <c r="B27" s="23"/>
      <c r="C27" s="93" t="s">
        <v>81</v>
      </c>
      <c r="D27" s="69"/>
      <c r="E27" s="69"/>
      <c r="F27" s="69"/>
      <c r="G27" s="69"/>
      <c r="H27" s="69"/>
      <c r="I27" s="69"/>
      <c r="J27" s="69"/>
      <c r="K27" s="69"/>
      <c r="L27" s="69"/>
      <c r="M27" s="69"/>
      <c r="N27" s="69"/>
      <c r="O27" s="69"/>
      <c r="P27" s="69"/>
      <c r="Q27" s="69"/>
      <c r="R27" s="69"/>
      <c r="S27" s="69"/>
      <c r="T27" s="69"/>
      <c r="U27" s="69"/>
      <c r="V27" s="69"/>
      <c r="W27" s="69"/>
      <c r="X27" s="69"/>
      <c r="Y27" s="69"/>
      <c r="Z27" s="69"/>
    </row>
    <row r="28" ht="15.75" customHeight="1">
      <c r="A28" s="92"/>
      <c r="B28" s="98" t="s">
        <v>82</v>
      </c>
      <c r="C28" s="96" t="s">
        <v>83</v>
      </c>
      <c r="D28" s="69"/>
      <c r="E28" s="69"/>
      <c r="F28" s="69"/>
      <c r="G28" s="69"/>
      <c r="H28" s="69"/>
      <c r="I28" s="69"/>
      <c r="J28" s="69"/>
      <c r="K28" s="69"/>
      <c r="L28" s="69"/>
      <c r="M28" s="69"/>
      <c r="N28" s="69"/>
      <c r="O28" s="69"/>
      <c r="P28" s="69"/>
      <c r="Q28" s="69"/>
      <c r="R28" s="69"/>
      <c r="S28" s="69"/>
      <c r="T28" s="69"/>
      <c r="U28" s="69"/>
      <c r="V28" s="69"/>
      <c r="W28" s="69"/>
      <c r="X28" s="69"/>
      <c r="Y28" s="69"/>
      <c r="Z28" s="69"/>
    </row>
    <row r="29" ht="15.75" customHeight="1">
      <c r="A29" s="92"/>
      <c r="B29" s="23"/>
      <c r="C29" s="93" t="s">
        <v>84</v>
      </c>
      <c r="D29" s="69"/>
      <c r="E29" s="69"/>
      <c r="F29" s="69"/>
      <c r="G29" s="69"/>
      <c r="H29" s="69"/>
      <c r="I29" s="69"/>
      <c r="J29" s="69"/>
      <c r="K29" s="69"/>
      <c r="L29" s="69"/>
      <c r="M29" s="69"/>
      <c r="N29" s="69"/>
      <c r="O29" s="69"/>
      <c r="P29" s="69"/>
      <c r="Q29" s="69"/>
      <c r="R29" s="69"/>
      <c r="S29" s="69"/>
      <c r="T29" s="69"/>
      <c r="U29" s="69"/>
      <c r="V29" s="69"/>
      <c r="W29" s="69"/>
      <c r="X29" s="69"/>
      <c r="Y29" s="69"/>
      <c r="Z29" s="69"/>
    </row>
    <row r="30" ht="15.75" customHeight="1">
      <c r="A30" s="92"/>
      <c r="B30" s="98" t="s">
        <v>85</v>
      </c>
      <c r="C30" s="96" t="s">
        <v>86</v>
      </c>
      <c r="D30" s="69"/>
      <c r="E30" s="69"/>
      <c r="F30" s="69"/>
      <c r="G30" s="69"/>
      <c r="H30" s="69"/>
      <c r="I30" s="69"/>
      <c r="J30" s="69"/>
      <c r="K30" s="69"/>
      <c r="L30" s="69"/>
      <c r="M30" s="69"/>
      <c r="N30" s="69"/>
      <c r="O30" s="69"/>
      <c r="P30" s="69"/>
      <c r="Q30" s="69"/>
      <c r="R30" s="69"/>
      <c r="S30" s="69"/>
      <c r="T30" s="69"/>
      <c r="U30" s="69"/>
      <c r="V30" s="69"/>
      <c r="W30" s="69"/>
      <c r="X30" s="69"/>
      <c r="Y30" s="69"/>
      <c r="Z30" s="69"/>
    </row>
    <row r="31" ht="15.75" customHeight="1">
      <c r="A31" s="92"/>
      <c r="B31" s="23"/>
      <c r="C31" s="93" t="s">
        <v>87</v>
      </c>
      <c r="D31" s="69"/>
      <c r="E31" s="69"/>
      <c r="F31" s="69"/>
      <c r="G31" s="69"/>
      <c r="H31" s="69"/>
      <c r="I31" s="69"/>
      <c r="J31" s="69"/>
      <c r="K31" s="69"/>
      <c r="L31" s="69"/>
      <c r="M31" s="69"/>
      <c r="N31" s="69"/>
      <c r="O31" s="69"/>
      <c r="P31" s="69"/>
      <c r="Q31" s="69"/>
      <c r="R31" s="69"/>
      <c r="S31" s="69"/>
      <c r="T31" s="69"/>
      <c r="U31" s="69"/>
      <c r="V31" s="69"/>
      <c r="W31" s="69"/>
      <c r="X31" s="69"/>
      <c r="Y31" s="69"/>
      <c r="Z31" s="69"/>
    </row>
    <row r="32" ht="15.75" customHeight="1">
      <c r="A32" s="92"/>
      <c r="B32" s="98" t="s">
        <v>88</v>
      </c>
      <c r="C32" s="96" t="s">
        <v>89</v>
      </c>
      <c r="D32" s="69"/>
      <c r="E32" s="69"/>
      <c r="F32" s="69"/>
      <c r="G32" s="69"/>
      <c r="H32" s="69"/>
      <c r="I32" s="69"/>
      <c r="J32" s="69"/>
      <c r="K32" s="69"/>
      <c r="L32" s="69"/>
      <c r="M32" s="69"/>
      <c r="N32" s="69"/>
      <c r="O32" s="69"/>
      <c r="P32" s="69"/>
      <c r="Q32" s="69"/>
      <c r="R32" s="69"/>
      <c r="S32" s="69"/>
      <c r="T32" s="69"/>
      <c r="U32" s="69"/>
      <c r="V32" s="69"/>
      <c r="W32" s="69"/>
      <c r="X32" s="69"/>
      <c r="Y32" s="69"/>
      <c r="Z32" s="69"/>
    </row>
    <row r="33" ht="15.75" customHeight="1">
      <c r="A33" s="21"/>
      <c r="C33" s="97" t="s">
        <v>90</v>
      </c>
      <c r="D33" s="69"/>
      <c r="E33" s="69"/>
      <c r="F33" s="69"/>
      <c r="G33" s="69"/>
      <c r="H33" s="69"/>
      <c r="I33" s="69"/>
      <c r="J33" s="69"/>
      <c r="K33" s="69"/>
      <c r="L33" s="69"/>
      <c r="M33" s="69"/>
      <c r="N33" s="69"/>
      <c r="O33" s="69"/>
      <c r="P33" s="69"/>
      <c r="Q33" s="69"/>
      <c r="R33" s="69"/>
      <c r="S33" s="69"/>
      <c r="T33" s="69"/>
      <c r="U33" s="69"/>
      <c r="V33" s="69"/>
      <c r="W33" s="69"/>
      <c r="X33" s="69"/>
      <c r="Y33" s="69"/>
      <c r="Z33" s="69"/>
    </row>
    <row r="34" ht="15.75" customHeight="1">
      <c r="A34" s="99" t="s">
        <v>91</v>
      </c>
      <c r="B34" s="100" t="s">
        <v>92</v>
      </c>
      <c r="C34" s="101" t="s">
        <v>93</v>
      </c>
      <c r="D34" s="69"/>
      <c r="E34" s="69"/>
      <c r="F34" s="69"/>
      <c r="G34" s="69"/>
      <c r="H34" s="69"/>
      <c r="I34" s="69"/>
      <c r="J34" s="69"/>
      <c r="K34" s="69"/>
      <c r="L34" s="69"/>
      <c r="M34" s="69"/>
      <c r="N34" s="69"/>
      <c r="O34" s="69"/>
      <c r="P34" s="69"/>
      <c r="Q34" s="69"/>
      <c r="R34" s="69"/>
      <c r="S34" s="69"/>
      <c r="T34" s="69"/>
      <c r="U34" s="69"/>
      <c r="V34" s="69"/>
      <c r="W34" s="69"/>
      <c r="X34" s="69"/>
      <c r="Y34" s="69"/>
      <c r="Z34" s="69"/>
    </row>
    <row r="35" ht="15.75" customHeight="1">
      <c r="A35" s="102"/>
      <c r="B35" s="23"/>
      <c r="C35" s="103" t="s">
        <v>94</v>
      </c>
      <c r="D35" s="69"/>
      <c r="E35" s="69"/>
      <c r="F35" s="69"/>
      <c r="G35" s="69"/>
      <c r="H35" s="69"/>
      <c r="I35" s="69"/>
      <c r="J35" s="69"/>
      <c r="K35" s="69"/>
      <c r="L35" s="69"/>
      <c r="M35" s="69"/>
      <c r="N35" s="69"/>
      <c r="O35" s="69"/>
      <c r="P35" s="69"/>
      <c r="Q35" s="69"/>
      <c r="R35" s="69"/>
      <c r="S35" s="69"/>
      <c r="T35" s="69"/>
      <c r="U35" s="69"/>
      <c r="V35" s="69"/>
      <c r="W35" s="69"/>
      <c r="X35" s="69"/>
      <c r="Y35" s="69"/>
      <c r="Z35" s="69"/>
    </row>
    <row r="36" ht="15.75" customHeight="1">
      <c r="A36" s="102"/>
      <c r="B36" s="98" t="s">
        <v>95</v>
      </c>
      <c r="C36" s="104" t="s">
        <v>96</v>
      </c>
      <c r="D36" s="69"/>
      <c r="E36" s="69"/>
      <c r="F36" s="69"/>
      <c r="G36" s="69"/>
      <c r="H36" s="69"/>
      <c r="I36" s="69"/>
      <c r="J36" s="69"/>
      <c r="K36" s="69"/>
      <c r="L36" s="69"/>
      <c r="M36" s="69"/>
      <c r="N36" s="69"/>
      <c r="O36" s="69"/>
      <c r="P36" s="69"/>
      <c r="Q36" s="69"/>
      <c r="R36" s="69"/>
      <c r="S36" s="69"/>
      <c r="T36" s="69"/>
      <c r="U36" s="69"/>
      <c r="V36" s="69"/>
      <c r="W36" s="69"/>
      <c r="X36" s="69"/>
      <c r="Y36" s="69"/>
      <c r="Z36" s="69"/>
    </row>
    <row r="37" ht="15.75" customHeight="1">
      <c r="A37" s="102"/>
      <c r="B37" s="23"/>
      <c r="C37" s="105" t="s">
        <v>97</v>
      </c>
      <c r="D37" s="69"/>
      <c r="E37" s="69"/>
      <c r="F37" s="69"/>
      <c r="G37" s="69"/>
      <c r="H37" s="69"/>
      <c r="I37" s="69"/>
      <c r="J37" s="69"/>
      <c r="K37" s="69"/>
      <c r="L37" s="69"/>
      <c r="M37" s="69"/>
      <c r="N37" s="69"/>
      <c r="O37" s="69"/>
      <c r="P37" s="69"/>
      <c r="Q37" s="69"/>
      <c r="R37" s="69"/>
      <c r="S37" s="69"/>
      <c r="T37" s="69"/>
      <c r="U37" s="69"/>
      <c r="V37" s="69"/>
      <c r="W37" s="69"/>
      <c r="X37" s="69"/>
      <c r="Y37" s="69"/>
      <c r="Z37" s="69"/>
    </row>
    <row r="38" ht="15.75" customHeight="1">
      <c r="A38" s="102"/>
      <c r="B38" s="98" t="s">
        <v>98</v>
      </c>
      <c r="C38" s="106" t="s">
        <v>99</v>
      </c>
      <c r="D38" s="69"/>
      <c r="E38" s="69"/>
      <c r="F38" s="69"/>
      <c r="G38" s="69"/>
      <c r="H38" s="69"/>
      <c r="I38" s="69"/>
      <c r="J38" s="69"/>
      <c r="K38" s="69"/>
      <c r="L38" s="69"/>
      <c r="M38" s="69"/>
      <c r="N38" s="69"/>
      <c r="O38" s="69"/>
      <c r="P38" s="69"/>
      <c r="Q38" s="69"/>
      <c r="R38" s="69"/>
      <c r="S38" s="69"/>
      <c r="T38" s="69"/>
      <c r="U38" s="69"/>
      <c r="V38" s="69"/>
      <c r="W38" s="69"/>
      <c r="X38" s="69"/>
      <c r="Y38" s="69"/>
      <c r="Z38" s="69"/>
    </row>
    <row r="39" ht="15.75" customHeight="1">
      <c r="A39" s="102"/>
      <c r="B39" s="23"/>
      <c r="C39" s="103" t="s">
        <v>100</v>
      </c>
      <c r="D39" s="69"/>
      <c r="E39" s="69"/>
      <c r="F39" s="69"/>
      <c r="G39" s="69"/>
      <c r="H39" s="69"/>
      <c r="I39" s="69"/>
      <c r="J39" s="69"/>
      <c r="K39" s="69"/>
      <c r="L39" s="69"/>
      <c r="M39" s="69"/>
      <c r="N39" s="69"/>
      <c r="O39" s="69"/>
      <c r="P39" s="69"/>
      <c r="Q39" s="69"/>
      <c r="R39" s="69"/>
      <c r="S39" s="69"/>
      <c r="T39" s="69"/>
      <c r="U39" s="69"/>
      <c r="V39" s="69"/>
      <c r="W39" s="69"/>
      <c r="X39" s="69"/>
      <c r="Y39" s="69"/>
      <c r="Z39" s="69"/>
    </row>
    <row r="40" ht="15.75" customHeight="1">
      <c r="A40" s="102"/>
      <c r="B40" s="98" t="s">
        <v>101</v>
      </c>
      <c r="C40" s="107" t="s">
        <v>102</v>
      </c>
      <c r="D40" s="69"/>
      <c r="E40" s="69"/>
      <c r="F40" s="69"/>
      <c r="G40" s="69"/>
      <c r="H40" s="69"/>
      <c r="I40" s="69"/>
      <c r="J40" s="69"/>
      <c r="K40" s="69"/>
      <c r="L40" s="69"/>
      <c r="M40" s="69"/>
      <c r="N40" s="69"/>
      <c r="O40" s="69"/>
      <c r="P40" s="69"/>
      <c r="Q40" s="69"/>
      <c r="R40" s="69"/>
      <c r="S40" s="69"/>
      <c r="T40" s="69"/>
      <c r="U40" s="69"/>
      <c r="V40" s="69"/>
      <c r="W40" s="69"/>
      <c r="X40" s="69"/>
      <c r="Y40" s="69"/>
      <c r="Z40" s="69"/>
    </row>
    <row r="41" ht="15.75" customHeight="1">
      <c r="A41" s="102"/>
      <c r="B41" s="23"/>
      <c r="C41" s="103" t="s">
        <v>103</v>
      </c>
      <c r="D41" s="69"/>
      <c r="E41" s="69"/>
      <c r="F41" s="69"/>
      <c r="G41" s="69"/>
      <c r="H41" s="69"/>
      <c r="I41" s="69"/>
      <c r="J41" s="69"/>
      <c r="K41" s="69"/>
      <c r="L41" s="69"/>
      <c r="M41" s="69"/>
      <c r="N41" s="69"/>
      <c r="O41" s="69"/>
      <c r="P41" s="69"/>
      <c r="Q41" s="69"/>
      <c r="R41" s="69"/>
      <c r="S41" s="69"/>
      <c r="T41" s="69"/>
      <c r="U41" s="69"/>
      <c r="V41" s="69"/>
      <c r="W41" s="69"/>
      <c r="X41" s="69"/>
      <c r="Y41" s="69"/>
      <c r="Z41" s="69"/>
    </row>
    <row r="42" ht="15.75" customHeight="1">
      <c r="A42" s="102"/>
      <c r="B42" s="98" t="s">
        <v>104</v>
      </c>
      <c r="C42" s="107" t="s">
        <v>105</v>
      </c>
      <c r="D42" s="69"/>
      <c r="E42" s="69"/>
      <c r="F42" s="69"/>
      <c r="G42" s="69"/>
      <c r="H42" s="69"/>
      <c r="I42" s="69"/>
      <c r="J42" s="69"/>
      <c r="K42" s="69"/>
      <c r="L42" s="69"/>
      <c r="M42" s="69"/>
      <c r="N42" s="69"/>
      <c r="O42" s="69"/>
      <c r="P42" s="69"/>
      <c r="Q42" s="69"/>
      <c r="R42" s="69"/>
      <c r="S42" s="69"/>
      <c r="T42" s="69"/>
      <c r="U42" s="69"/>
      <c r="V42" s="69"/>
      <c r="W42" s="69"/>
      <c r="X42" s="69"/>
      <c r="Y42" s="69"/>
      <c r="Z42" s="69"/>
    </row>
    <row r="43" ht="15.75" customHeight="1">
      <c r="A43" s="102"/>
      <c r="B43" s="23"/>
      <c r="C43" s="103" t="s">
        <v>106</v>
      </c>
      <c r="D43" s="69"/>
      <c r="E43" s="69"/>
      <c r="F43" s="69"/>
      <c r="G43" s="69"/>
      <c r="H43" s="69"/>
      <c r="I43" s="69"/>
      <c r="J43" s="69"/>
      <c r="K43" s="69"/>
      <c r="L43" s="69"/>
      <c r="M43" s="69"/>
      <c r="N43" s="69"/>
      <c r="O43" s="69"/>
      <c r="P43" s="69"/>
      <c r="Q43" s="69"/>
      <c r="R43" s="69"/>
      <c r="S43" s="69"/>
      <c r="T43" s="69"/>
      <c r="U43" s="69"/>
      <c r="V43" s="69"/>
      <c r="W43" s="69"/>
      <c r="X43" s="69"/>
      <c r="Y43" s="69"/>
      <c r="Z43" s="69"/>
    </row>
    <row r="44" ht="15.75" customHeight="1">
      <c r="A44" s="102"/>
      <c r="B44" s="98" t="s">
        <v>107</v>
      </c>
      <c r="C44" s="106" t="s">
        <v>108</v>
      </c>
      <c r="D44" s="69"/>
      <c r="E44" s="69"/>
      <c r="F44" s="69"/>
      <c r="G44" s="69"/>
      <c r="H44" s="69"/>
      <c r="I44" s="69"/>
      <c r="J44" s="69"/>
      <c r="K44" s="69"/>
      <c r="L44" s="69"/>
      <c r="M44" s="69"/>
      <c r="N44" s="69"/>
      <c r="O44" s="69"/>
      <c r="P44" s="69"/>
      <c r="Q44" s="69"/>
      <c r="R44" s="69"/>
      <c r="S44" s="69"/>
      <c r="T44" s="69"/>
      <c r="U44" s="69"/>
      <c r="V44" s="69"/>
      <c r="W44" s="69"/>
      <c r="X44" s="69"/>
      <c r="Y44" s="69"/>
      <c r="Z44" s="69"/>
    </row>
    <row r="45" ht="15.75" customHeight="1">
      <c r="A45" s="102"/>
      <c r="B45" s="23"/>
      <c r="C45" s="103" t="s">
        <v>109</v>
      </c>
      <c r="D45" s="69"/>
      <c r="E45" s="69"/>
      <c r="F45" s="69"/>
      <c r="G45" s="69"/>
      <c r="H45" s="69"/>
      <c r="I45" s="69"/>
      <c r="J45" s="69"/>
      <c r="K45" s="69"/>
      <c r="L45" s="69"/>
      <c r="M45" s="69"/>
      <c r="N45" s="69"/>
      <c r="O45" s="69"/>
      <c r="P45" s="69"/>
      <c r="Q45" s="69"/>
      <c r="R45" s="69"/>
      <c r="S45" s="69"/>
      <c r="T45" s="69"/>
      <c r="U45" s="69"/>
      <c r="V45" s="69"/>
      <c r="W45" s="69"/>
      <c r="X45" s="69"/>
      <c r="Y45" s="69"/>
      <c r="Z45" s="69"/>
    </row>
    <row r="46" ht="15.75" customHeight="1">
      <c r="A46" s="102"/>
      <c r="B46" s="98" t="s">
        <v>110</v>
      </c>
      <c r="C46" s="106" t="s">
        <v>111</v>
      </c>
      <c r="D46" s="69"/>
      <c r="E46" s="69"/>
      <c r="F46" s="69"/>
      <c r="G46" s="69"/>
      <c r="H46" s="69"/>
      <c r="I46" s="69"/>
      <c r="J46" s="69"/>
      <c r="K46" s="69"/>
      <c r="L46" s="69"/>
      <c r="M46" s="69"/>
      <c r="N46" s="69"/>
      <c r="O46" s="69"/>
      <c r="P46" s="69"/>
      <c r="Q46" s="69"/>
      <c r="R46" s="69"/>
      <c r="S46" s="69"/>
      <c r="T46" s="69"/>
      <c r="U46" s="69"/>
      <c r="V46" s="69"/>
      <c r="W46" s="69"/>
      <c r="X46" s="69"/>
      <c r="Y46" s="69"/>
      <c r="Z46" s="69"/>
    </row>
    <row r="47" ht="15.75" customHeight="1">
      <c r="A47" s="102"/>
      <c r="C47" s="103" t="s">
        <v>112</v>
      </c>
      <c r="D47" s="69"/>
      <c r="E47" s="69"/>
      <c r="F47" s="69"/>
      <c r="G47" s="69"/>
      <c r="H47" s="69"/>
      <c r="I47" s="69"/>
      <c r="J47" s="69"/>
      <c r="K47" s="69"/>
      <c r="L47" s="69"/>
      <c r="M47" s="69"/>
      <c r="N47" s="69"/>
      <c r="O47" s="69"/>
      <c r="P47" s="69"/>
      <c r="Q47" s="69"/>
      <c r="R47" s="69"/>
      <c r="S47" s="69"/>
      <c r="T47" s="69"/>
      <c r="U47" s="69"/>
      <c r="V47" s="69"/>
      <c r="W47" s="69"/>
      <c r="X47" s="69"/>
      <c r="Y47" s="69"/>
      <c r="Z47" s="69"/>
    </row>
    <row r="48" ht="15.75" customHeight="1">
      <c r="A48" s="102"/>
      <c r="B48" s="98" t="s">
        <v>113</v>
      </c>
      <c r="C48" s="106" t="s">
        <v>114</v>
      </c>
      <c r="D48" s="69"/>
      <c r="E48" s="69"/>
      <c r="F48" s="69"/>
      <c r="G48" s="69"/>
      <c r="H48" s="69"/>
      <c r="I48" s="69"/>
      <c r="J48" s="69"/>
      <c r="K48" s="69"/>
      <c r="L48" s="69"/>
      <c r="M48" s="69"/>
      <c r="N48" s="69"/>
      <c r="O48" s="69"/>
      <c r="P48" s="69"/>
      <c r="Q48" s="69"/>
      <c r="R48" s="69"/>
      <c r="S48" s="69"/>
      <c r="T48" s="69"/>
      <c r="U48" s="69"/>
      <c r="V48" s="69"/>
      <c r="W48" s="69"/>
      <c r="X48" s="69"/>
      <c r="Y48" s="69"/>
      <c r="Z48" s="69"/>
    </row>
    <row r="49" ht="15.75" customHeight="1">
      <c r="A49" s="108"/>
      <c r="B49" s="109"/>
      <c r="C49" s="110" t="s">
        <v>115</v>
      </c>
      <c r="D49" s="69"/>
      <c r="E49" s="69"/>
      <c r="F49" s="69"/>
      <c r="G49" s="69"/>
      <c r="H49" s="69"/>
      <c r="I49" s="69"/>
      <c r="J49" s="69"/>
      <c r="K49" s="69"/>
      <c r="L49" s="69"/>
      <c r="M49" s="69"/>
      <c r="N49" s="69"/>
      <c r="O49" s="69"/>
      <c r="P49" s="69"/>
      <c r="Q49" s="69"/>
      <c r="R49" s="69"/>
      <c r="S49" s="69"/>
      <c r="T49" s="69"/>
      <c r="U49" s="69"/>
      <c r="V49" s="69"/>
      <c r="W49" s="69"/>
      <c r="X49" s="69"/>
      <c r="Y49" s="69"/>
      <c r="Z49" s="69"/>
    </row>
    <row r="50" ht="15.75" customHeight="1">
      <c r="A50" s="56"/>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5.75" customHeight="1">
      <c r="A51" s="56"/>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5.75" customHeight="1">
      <c r="A52" s="56"/>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5.75" customHeight="1">
      <c r="A53" s="56"/>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5.75" customHeight="1">
      <c r="A54" s="56"/>
      <c r="B54" s="69"/>
      <c r="C54" s="111"/>
      <c r="D54" s="69"/>
      <c r="E54" s="69"/>
      <c r="F54" s="69"/>
      <c r="G54" s="69"/>
      <c r="H54" s="69"/>
      <c r="I54" s="69"/>
      <c r="J54" s="69"/>
      <c r="K54" s="69"/>
      <c r="L54" s="69"/>
      <c r="M54" s="69"/>
      <c r="N54" s="69"/>
      <c r="O54" s="69"/>
      <c r="P54" s="69"/>
      <c r="Q54" s="69"/>
      <c r="R54" s="69"/>
      <c r="S54" s="69"/>
      <c r="T54" s="69"/>
      <c r="U54" s="69"/>
      <c r="V54" s="69"/>
      <c r="W54" s="69"/>
      <c r="X54" s="69"/>
      <c r="Y54" s="69"/>
      <c r="Z54" s="69"/>
    </row>
    <row r="55" ht="15.75" customHeight="1">
      <c r="A55" s="56"/>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5.75" customHeight="1">
      <c r="A56" s="56"/>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5.75" customHeight="1">
      <c r="A57" s="56"/>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5.75" customHeight="1">
      <c r="A58" s="56"/>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5.75" customHeight="1">
      <c r="A59" s="56"/>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5.75" customHeight="1">
      <c r="A60" s="56"/>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5.75" customHeight="1">
      <c r="A61" s="56"/>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5.75" customHeight="1">
      <c r="A62" s="56"/>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5.75" customHeight="1">
      <c r="A63" s="56"/>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5.75" customHeight="1">
      <c r="A64" s="56"/>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5.75" customHeight="1">
      <c r="A65" s="56"/>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5.75" customHeight="1">
      <c r="A66" s="56"/>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5.75" customHeight="1">
      <c r="A67" s="56"/>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5.75" customHeight="1">
      <c r="A68" s="56"/>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5.75" customHeight="1">
      <c r="A69" s="56"/>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5.75" customHeight="1">
      <c r="A70" s="56"/>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5.75" customHeight="1">
      <c r="A71" s="56"/>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5.75" customHeight="1">
      <c r="A72" s="56"/>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5.75" customHeight="1">
      <c r="A73" s="56"/>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5.75" customHeight="1">
      <c r="A74" s="56"/>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5.75" customHeight="1">
      <c r="A75" s="56"/>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5.75" customHeight="1">
      <c r="A76" s="56"/>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5.75" customHeight="1">
      <c r="A77" s="56"/>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5.75" customHeight="1">
      <c r="A78" s="56"/>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5.75" customHeight="1">
      <c r="A79" s="56"/>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5.75" customHeight="1">
      <c r="A80" s="56"/>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5.75" customHeight="1">
      <c r="A81" s="56"/>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5.75" customHeight="1">
      <c r="A82" s="56"/>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5.75" customHeight="1">
      <c r="A83" s="56"/>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5.75" customHeight="1">
      <c r="A84" s="56"/>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5.75" customHeight="1">
      <c r="A85" s="56"/>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5.75" customHeight="1">
      <c r="A86" s="56"/>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5.75" customHeight="1">
      <c r="A87" s="56"/>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5.75" customHeight="1">
      <c r="A88" s="56"/>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5.75" customHeight="1">
      <c r="A89" s="56"/>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5.75" customHeight="1">
      <c r="A90" s="56"/>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5.75" customHeight="1">
      <c r="A91" s="56"/>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5.75" customHeight="1">
      <c r="A92" s="56"/>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5.75" customHeight="1">
      <c r="A93" s="56"/>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5.75" customHeight="1">
      <c r="A94" s="56"/>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5.75" customHeight="1">
      <c r="A95" s="56"/>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5.75" customHeight="1">
      <c r="A96" s="56"/>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5.75" customHeight="1">
      <c r="A97" s="56"/>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5.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5.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ht="15.75" customHeight="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row>
    <row r="1002" ht="15.75" customHeight="1">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row>
    <row r="1003" ht="15.75" customHeight="1">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row>
    <row r="1004" ht="15.75" customHeight="1">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row>
  </sheetData>
  <mergeCells count="24">
    <mergeCell ref="B18:B19"/>
    <mergeCell ref="B20:B21"/>
    <mergeCell ref="B22:B23"/>
    <mergeCell ref="B24:B25"/>
    <mergeCell ref="B26:B27"/>
    <mergeCell ref="B28:B29"/>
    <mergeCell ref="B30:B31"/>
    <mergeCell ref="B32:B33"/>
    <mergeCell ref="A8:A17"/>
    <mergeCell ref="B8:B9"/>
    <mergeCell ref="B10:B11"/>
    <mergeCell ref="B12:B13"/>
    <mergeCell ref="B14:B15"/>
    <mergeCell ref="B16:B17"/>
    <mergeCell ref="A18:A33"/>
    <mergeCell ref="B46:B47"/>
    <mergeCell ref="B48:B49"/>
    <mergeCell ref="A34:A49"/>
    <mergeCell ref="B34:B35"/>
    <mergeCell ref="B36:B37"/>
    <mergeCell ref="B38:B39"/>
    <mergeCell ref="B40:B41"/>
    <mergeCell ref="B42:B43"/>
    <mergeCell ref="B44:B4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43.29"/>
    <col customWidth="1" min="4" max="4" width="34.86"/>
    <col customWidth="1" min="5" max="5" width="65.57"/>
    <col customWidth="1" min="6" max="6" width="62.57"/>
    <col customWidth="1" min="7" max="26" width="10.29"/>
  </cols>
  <sheetData>
    <row r="1" ht="12.75" customHeight="1">
      <c r="A1" s="11"/>
      <c r="B1" s="112"/>
      <c r="C1" s="113"/>
      <c r="D1" s="114" t="s">
        <v>116</v>
      </c>
      <c r="E1" s="115"/>
      <c r="F1" s="113"/>
      <c r="G1" s="11"/>
      <c r="H1" s="11"/>
      <c r="I1" s="11"/>
      <c r="J1" s="11"/>
      <c r="K1" s="11"/>
      <c r="L1" s="11"/>
      <c r="M1" s="11"/>
      <c r="N1" s="11"/>
      <c r="O1" s="11"/>
      <c r="P1" s="11"/>
      <c r="Q1" s="11"/>
      <c r="R1" s="11"/>
      <c r="S1" s="11"/>
      <c r="T1" s="11"/>
      <c r="U1" s="11"/>
      <c r="V1" s="11"/>
      <c r="W1" s="11"/>
      <c r="X1" s="11"/>
      <c r="Y1" s="11"/>
      <c r="Z1" s="11"/>
    </row>
    <row r="2" ht="12.75" customHeight="1">
      <c r="A2" s="11"/>
      <c r="B2" s="112"/>
      <c r="C2" s="113"/>
      <c r="D2" s="116"/>
      <c r="E2" s="116"/>
      <c r="F2" s="113"/>
      <c r="G2" s="11"/>
      <c r="H2" s="11"/>
      <c r="I2" s="11"/>
      <c r="J2" s="11"/>
      <c r="K2" s="11"/>
      <c r="L2" s="11"/>
      <c r="M2" s="11"/>
      <c r="N2" s="11"/>
      <c r="O2" s="11"/>
      <c r="P2" s="11"/>
      <c r="Q2" s="11"/>
      <c r="R2" s="11"/>
      <c r="S2" s="11"/>
      <c r="T2" s="11"/>
      <c r="U2" s="11"/>
      <c r="V2" s="11"/>
      <c r="W2" s="11"/>
      <c r="X2" s="11"/>
      <c r="Y2" s="11"/>
      <c r="Z2" s="11"/>
    </row>
    <row r="3" ht="12.75" customHeight="1">
      <c r="A3" s="11"/>
      <c r="B3" s="117" t="s">
        <v>1</v>
      </c>
      <c r="C3" s="118"/>
      <c r="D3" s="119" t="s">
        <v>2</v>
      </c>
      <c r="E3" s="6"/>
      <c r="F3" s="7"/>
      <c r="G3" s="11"/>
      <c r="H3" s="11"/>
      <c r="I3" s="11"/>
      <c r="J3" s="11"/>
      <c r="K3" s="11"/>
      <c r="L3" s="11"/>
      <c r="M3" s="11"/>
      <c r="N3" s="11"/>
      <c r="O3" s="11"/>
      <c r="P3" s="11"/>
      <c r="Q3" s="11"/>
      <c r="R3" s="11"/>
      <c r="S3" s="11"/>
      <c r="T3" s="11"/>
      <c r="U3" s="11"/>
      <c r="V3" s="11"/>
      <c r="W3" s="11"/>
      <c r="X3" s="11"/>
      <c r="Y3" s="11"/>
      <c r="Z3" s="11"/>
    </row>
    <row r="4" ht="12.75" customHeight="1">
      <c r="A4" s="11"/>
      <c r="B4" s="117" t="s">
        <v>5</v>
      </c>
      <c r="C4" s="118"/>
      <c r="D4" s="119" t="s">
        <v>6</v>
      </c>
      <c r="E4" s="6"/>
      <c r="F4" s="7"/>
      <c r="G4" s="11"/>
      <c r="H4" s="11"/>
      <c r="I4" s="11"/>
      <c r="J4" s="11"/>
      <c r="K4" s="11"/>
      <c r="L4" s="11"/>
      <c r="M4" s="11"/>
      <c r="N4" s="11"/>
      <c r="O4" s="11"/>
      <c r="P4" s="11"/>
      <c r="Q4" s="11"/>
      <c r="R4" s="11"/>
      <c r="S4" s="11"/>
      <c r="T4" s="11"/>
      <c r="U4" s="11"/>
      <c r="V4" s="11"/>
      <c r="W4" s="11"/>
      <c r="X4" s="11"/>
      <c r="Y4" s="11"/>
      <c r="Z4" s="11"/>
    </row>
    <row r="5" ht="12.75" customHeight="1">
      <c r="A5" s="120"/>
      <c r="B5" s="121" t="s">
        <v>117</v>
      </c>
      <c r="C5" s="7"/>
      <c r="D5" s="122" t="s">
        <v>118</v>
      </c>
      <c r="E5" s="6"/>
      <c r="F5" s="7"/>
      <c r="G5" s="120"/>
      <c r="H5" s="120"/>
      <c r="I5" s="120"/>
      <c r="J5" s="120"/>
      <c r="K5" s="120"/>
      <c r="L5" s="120"/>
      <c r="M5" s="120"/>
      <c r="N5" s="120"/>
      <c r="O5" s="120"/>
      <c r="P5" s="120"/>
      <c r="Q5" s="120"/>
      <c r="R5" s="120"/>
      <c r="S5" s="120"/>
      <c r="T5" s="120"/>
      <c r="U5" s="120"/>
      <c r="V5" s="120"/>
      <c r="W5" s="120"/>
      <c r="X5" s="120"/>
      <c r="Y5" s="120"/>
      <c r="Z5" s="120"/>
    </row>
    <row r="6" ht="12.75" customHeight="1">
      <c r="A6" s="11"/>
      <c r="B6" s="123"/>
      <c r="C6" s="11"/>
      <c r="D6" s="11"/>
      <c r="E6" s="11"/>
      <c r="F6" s="11"/>
      <c r="G6" s="11"/>
      <c r="H6" s="11"/>
      <c r="I6" s="11"/>
      <c r="J6" s="11"/>
      <c r="K6" s="11"/>
      <c r="L6" s="11"/>
      <c r="M6" s="11"/>
      <c r="N6" s="11"/>
      <c r="O6" s="11"/>
      <c r="P6" s="11"/>
      <c r="Q6" s="11"/>
      <c r="R6" s="11"/>
      <c r="S6" s="11"/>
      <c r="T6" s="11"/>
      <c r="U6" s="11"/>
      <c r="V6" s="11"/>
      <c r="W6" s="11"/>
      <c r="X6" s="11"/>
      <c r="Y6" s="11"/>
      <c r="Z6" s="11"/>
    </row>
    <row r="7" ht="12.75" customHeight="1">
      <c r="A7" s="124"/>
      <c r="B7" s="125"/>
      <c r="C7" s="126"/>
      <c r="D7" s="126"/>
      <c r="E7" s="126"/>
      <c r="F7" s="126"/>
      <c r="G7" s="124"/>
      <c r="H7" s="124"/>
      <c r="I7" s="124"/>
      <c r="J7" s="124"/>
      <c r="K7" s="124"/>
      <c r="L7" s="124"/>
      <c r="M7" s="124"/>
      <c r="N7" s="124"/>
      <c r="O7" s="124"/>
      <c r="P7" s="124"/>
      <c r="Q7" s="124"/>
      <c r="R7" s="124"/>
      <c r="S7" s="124"/>
      <c r="T7" s="124"/>
      <c r="U7" s="124"/>
      <c r="V7" s="124"/>
      <c r="W7" s="124"/>
      <c r="X7" s="124"/>
      <c r="Y7" s="124"/>
      <c r="Z7" s="124"/>
    </row>
    <row r="8" ht="12.75" customHeight="1">
      <c r="A8" s="127"/>
      <c r="B8" s="128" t="s">
        <v>119</v>
      </c>
      <c r="C8" s="129" t="s">
        <v>120</v>
      </c>
      <c r="D8" s="130" t="s">
        <v>121</v>
      </c>
      <c r="E8" s="131" t="s">
        <v>122</v>
      </c>
      <c r="F8" s="132" t="s">
        <v>123</v>
      </c>
      <c r="G8" s="127"/>
      <c r="H8" s="127"/>
      <c r="I8" s="127"/>
      <c r="J8" s="127"/>
      <c r="K8" s="127"/>
      <c r="L8" s="127"/>
      <c r="M8" s="127"/>
      <c r="N8" s="127"/>
      <c r="O8" s="127"/>
      <c r="P8" s="127"/>
      <c r="Q8" s="127"/>
      <c r="R8" s="127"/>
      <c r="S8" s="127"/>
      <c r="T8" s="127"/>
      <c r="U8" s="127"/>
      <c r="V8" s="127"/>
      <c r="W8" s="127"/>
      <c r="X8" s="127"/>
      <c r="Y8" s="127"/>
      <c r="Z8" s="127"/>
    </row>
    <row r="9" ht="15.0" customHeight="1">
      <c r="A9" s="11"/>
      <c r="B9" s="133">
        <v>1.0</v>
      </c>
      <c r="C9" s="134" t="s">
        <v>124</v>
      </c>
      <c r="D9" s="135" t="s">
        <v>125</v>
      </c>
      <c r="E9" s="136" t="s">
        <v>126</v>
      </c>
      <c r="F9" s="137" t="s">
        <v>127</v>
      </c>
      <c r="G9" s="11"/>
      <c r="H9" s="11"/>
      <c r="I9" s="11"/>
      <c r="J9" s="11"/>
      <c r="K9" s="11"/>
      <c r="L9" s="11"/>
      <c r="M9" s="11"/>
      <c r="N9" s="11"/>
      <c r="O9" s="11"/>
      <c r="P9" s="11"/>
      <c r="Q9" s="11"/>
      <c r="R9" s="11"/>
      <c r="S9" s="11"/>
      <c r="T9" s="11"/>
      <c r="U9" s="11"/>
      <c r="V9" s="11"/>
      <c r="W9" s="11"/>
      <c r="X9" s="11"/>
      <c r="Y9" s="11"/>
      <c r="Z9" s="11"/>
    </row>
    <row r="10" ht="12.75" customHeight="1">
      <c r="A10" s="11"/>
      <c r="B10" s="133">
        <v>2.0</v>
      </c>
      <c r="C10" s="134" t="s">
        <v>128</v>
      </c>
      <c r="D10" s="138" t="s">
        <v>129</v>
      </c>
      <c r="E10" s="136" t="s">
        <v>130</v>
      </c>
      <c r="F10" s="137" t="s">
        <v>131</v>
      </c>
      <c r="G10" s="11"/>
      <c r="H10" s="11"/>
      <c r="I10" s="11"/>
      <c r="J10" s="11"/>
      <c r="K10" s="11"/>
      <c r="L10" s="11"/>
      <c r="M10" s="11"/>
      <c r="N10" s="11"/>
      <c r="O10" s="11"/>
      <c r="P10" s="11"/>
      <c r="Q10" s="11"/>
      <c r="R10" s="11"/>
      <c r="S10" s="11"/>
      <c r="T10" s="11"/>
      <c r="U10" s="11"/>
      <c r="V10" s="11"/>
      <c r="W10" s="11"/>
      <c r="X10" s="11"/>
      <c r="Y10" s="11"/>
      <c r="Z10" s="11"/>
    </row>
    <row r="11" ht="13.5" customHeight="1">
      <c r="A11" s="11"/>
      <c r="B11" s="133">
        <v>3.0</v>
      </c>
      <c r="C11" s="134" t="s">
        <v>63</v>
      </c>
      <c r="D11" s="139" t="s">
        <v>132</v>
      </c>
      <c r="E11" s="136" t="s">
        <v>133</v>
      </c>
      <c r="F11" s="137" t="s">
        <v>134</v>
      </c>
      <c r="G11" s="11"/>
      <c r="H11" s="11"/>
      <c r="I11" s="11"/>
      <c r="J11" s="11"/>
      <c r="K11" s="11"/>
      <c r="L11" s="11"/>
      <c r="M11" s="11"/>
      <c r="N11" s="11"/>
      <c r="O11" s="11"/>
      <c r="P11" s="11"/>
      <c r="Q11" s="11"/>
      <c r="R11" s="11"/>
      <c r="S11" s="11"/>
      <c r="T11" s="11"/>
      <c r="U11" s="11"/>
      <c r="V11" s="11"/>
      <c r="W11" s="11"/>
      <c r="X11" s="11"/>
      <c r="Y11" s="11"/>
      <c r="Z11" s="11"/>
    </row>
    <row r="12" ht="12.75" customHeight="1">
      <c r="A12" s="11"/>
      <c r="B12" s="133">
        <v>4.0</v>
      </c>
      <c r="C12" s="134" t="s">
        <v>135</v>
      </c>
      <c r="D12" s="139" t="s">
        <v>136</v>
      </c>
      <c r="E12" s="136" t="s">
        <v>137</v>
      </c>
      <c r="F12" s="137" t="s">
        <v>138</v>
      </c>
      <c r="G12" s="11"/>
      <c r="H12" s="11"/>
      <c r="I12" s="11"/>
      <c r="J12" s="11"/>
      <c r="K12" s="11"/>
      <c r="L12" s="11"/>
      <c r="M12" s="11"/>
      <c r="N12" s="11"/>
      <c r="O12" s="11"/>
      <c r="P12" s="11"/>
      <c r="Q12" s="11"/>
      <c r="R12" s="11"/>
      <c r="S12" s="11"/>
      <c r="T12" s="11"/>
      <c r="U12" s="11"/>
      <c r="V12" s="11"/>
      <c r="W12" s="11"/>
      <c r="X12" s="11"/>
      <c r="Y12" s="11"/>
      <c r="Z12" s="11"/>
    </row>
    <row r="13" ht="12.75" customHeight="1">
      <c r="A13" s="11"/>
      <c r="B13" s="133">
        <v>5.0</v>
      </c>
      <c r="C13" s="134" t="s">
        <v>139</v>
      </c>
      <c r="D13" s="139" t="s">
        <v>140</v>
      </c>
      <c r="E13" s="140" t="s">
        <v>141</v>
      </c>
      <c r="F13" s="141" t="s">
        <v>142</v>
      </c>
      <c r="G13" s="11"/>
      <c r="H13" s="11"/>
      <c r="I13" s="11"/>
      <c r="J13" s="11"/>
      <c r="K13" s="11"/>
      <c r="L13" s="11"/>
      <c r="M13" s="11"/>
      <c r="N13" s="11"/>
      <c r="O13" s="11"/>
      <c r="P13" s="11"/>
      <c r="Q13" s="11"/>
      <c r="R13" s="11"/>
      <c r="S13" s="11"/>
      <c r="T13" s="11"/>
      <c r="U13" s="11"/>
      <c r="V13" s="11"/>
      <c r="W13" s="11"/>
      <c r="X13" s="11"/>
      <c r="Y13" s="11"/>
      <c r="Z13" s="11"/>
    </row>
    <row r="14" ht="12.75" customHeight="1">
      <c r="A14" s="11"/>
      <c r="B14" s="133">
        <v>6.0</v>
      </c>
      <c r="C14" s="134" t="s">
        <v>79</v>
      </c>
      <c r="D14" s="139" t="s">
        <v>143</v>
      </c>
      <c r="E14" s="142" t="s">
        <v>144</v>
      </c>
      <c r="F14" s="137" t="s">
        <v>145</v>
      </c>
      <c r="G14" s="11"/>
      <c r="H14" s="11"/>
      <c r="I14" s="11"/>
      <c r="J14" s="11"/>
      <c r="K14" s="11"/>
      <c r="L14" s="11"/>
      <c r="M14" s="11"/>
      <c r="N14" s="11"/>
      <c r="O14" s="11"/>
      <c r="P14" s="11"/>
      <c r="Q14" s="11"/>
      <c r="R14" s="11"/>
      <c r="S14" s="11"/>
      <c r="T14" s="11"/>
      <c r="U14" s="11"/>
      <c r="V14" s="11"/>
      <c r="W14" s="11"/>
      <c r="X14" s="11"/>
      <c r="Y14" s="11"/>
      <c r="Z14" s="11"/>
    </row>
    <row r="15" ht="12.75" customHeight="1">
      <c r="A15" s="11"/>
      <c r="B15" s="133">
        <v>7.0</v>
      </c>
      <c r="C15" s="134" t="s">
        <v>146</v>
      </c>
      <c r="D15" s="139" t="s">
        <v>147</v>
      </c>
      <c r="E15" s="142" t="s">
        <v>148</v>
      </c>
      <c r="F15" s="137" t="s">
        <v>149</v>
      </c>
      <c r="G15" s="11"/>
      <c r="H15" s="11"/>
      <c r="I15" s="11"/>
      <c r="J15" s="11"/>
      <c r="K15" s="11"/>
      <c r="L15" s="11"/>
      <c r="M15" s="11"/>
      <c r="N15" s="11"/>
      <c r="O15" s="11"/>
      <c r="P15" s="11"/>
      <c r="Q15" s="11"/>
      <c r="R15" s="11"/>
      <c r="S15" s="11"/>
      <c r="T15" s="11"/>
      <c r="U15" s="11"/>
      <c r="V15" s="11"/>
      <c r="W15" s="11"/>
      <c r="X15" s="11"/>
      <c r="Y15" s="11"/>
      <c r="Z15" s="11"/>
    </row>
    <row r="16" ht="12.75" customHeight="1">
      <c r="A16" s="11"/>
      <c r="B16" s="133">
        <v>8.0</v>
      </c>
      <c r="C16" s="134" t="s">
        <v>150</v>
      </c>
      <c r="D16" s="139" t="s">
        <v>151</v>
      </c>
      <c r="E16" s="142" t="s">
        <v>152</v>
      </c>
      <c r="F16" s="137" t="s">
        <v>153</v>
      </c>
      <c r="G16" s="11"/>
      <c r="H16" s="11"/>
      <c r="I16" s="11"/>
      <c r="J16" s="11"/>
      <c r="K16" s="11"/>
      <c r="L16" s="11"/>
      <c r="M16" s="11"/>
      <c r="N16" s="11"/>
      <c r="O16" s="11"/>
      <c r="P16" s="11"/>
      <c r="Q16" s="11"/>
      <c r="R16" s="11"/>
      <c r="S16" s="11"/>
      <c r="T16" s="11"/>
      <c r="U16" s="11"/>
      <c r="V16" s="11"/>
      <c r="W16" s="11"/>
      <c r="X16" s="11"/>
      <c r="Y16" s="11"/>
      <c r="Z16" s="11"/>
    </row>
    <row r="17" ht="12.75" customHeight="1">
      <c r="A17" s="11"/>
      <c r="B17" s="133">
        <v>9.0</v>
      </c>
      <c r="C17" s="134" t="s">
        <v>95</v>
      </c>
      <c r="D17" s="139" t="s">
        <v>154</v>
      </c>
      <c r="E17" s="140" t="s">
        <v>155</v>
      </c>
      <c r="F17" s="140" t="s">
        <v>156</v>
      </c>
      <c r="G17" s="11"/>
      <c r="H17" s="11"/>
      <c r="I17" s="11"/>
      <c r="J17" s="11"/>
      <c r="K17" s="11"/>
      <c r="L17" s="11"/>
      <c r="M17" s="11"/>
      <c r="N17" s="11"/>
      <c r="O17" s="11"/>
      <c r="P17" s="11"/>
      <c r="Q17" s="11"/>
      <c r="R17" s="11"/>
      <c r="S17" s="11"/>
      <c r="T17" s="11"/>
      <c r="U17" s="11"/>
      <c r="V17" s="11"/>
      <c r="W17" s="11"/>
      <c r="X17" s="11"/>
      <c r="Y17" s="11"/>
      <c r="Z17" s="11"/>
    </row>
    <row r="18" ht="12.75" customHeight="1">
      <c r="A18" s="11"/>
      <c r="B18" s="133">
        <v>10.0</v>
      </c>
      <c r="C18" s="134" t="s">
        <v>107</v>
      </c>
      <c r="D18" s="139" t="s">
        <v>157</v>
      </c>
      <c r="E18" s="142" t="s">
        <v>158</v>
      </c>
      <c r="F18" s="137" t="s">
        <v>159</v>
      </c>
      <c r="G18" s="11"/>
      <c r="H18" s="11"/>
      <c r="I18" s="11"/>
      <c r="J18" s="11"/>
      <c r="K18" s="11"/>
      <c r="L18" s="11"/>
      <c r="M18" s="11"/>
      <c r="N18" s="11"/>
      <c r="O18" s="11"/>
      <c r="P18" s="11"/>
      <c r="Q18" s="11"/>
      <c r="R18" s="11"/>
      <c r="S18" s="11"/>
      <c r="T18" s="11"/>
      <c r="U18" s="11"/>
      <c r="V18" s="11"/>
      <c r="W18" s="11"/>
      <c r="X18" s="11"/>
      <c r="Y18" s="11"/>
      <c r="Z18" s="11"/>
    </row>
    <row r="19" ht="12.75" customHeight="1">
      <c r="A19" s="11"/>
      <c r="B19" s="143">
        <v>11.0</v>
      </c>
      <c r="C19" s="144" t="s">
        <v>104</v>
      </c>
      <c r="D19" s="139" t="s">
        <v>160</v>
      </c>
      <c r="E19" s="145" t="s">
        <v>161</v>
      </c>
      <c r="F19" s="140" t="s">
        <v>162</v>
      </c>
      <c r="G19" s="11"/>
      <c r="H19" s="11"/>
      <c r="I19" s="11"/>
      <c r="J19" s="11"/>
      <c r="K19" s="11"/>
      <c r="L19" s="11"/>
      <c r="M19" s="11"/>
      <c r="N19" s="11"/>
      <c r="O19" s="11"/>
      <c r="P19" s="11"/>
      <c r="Q19" s="11"/>
      <c r="R19" s="11"/>
      <c r="S19" s="11"/>
      <c r="T19" s="11"/>
      <c r="U19" s="11"/>
      <c r="V19" s="11"/>
      <c r="W19" s="11"/>
      <c r="X19" s="11"/>
      <c r="Y19" s="11"/>
      <c r="Z19" s="11"/>
    </row>
    <row r="20" ht="12.75" customHeight="1">
      <c r="A20" s="11"/>
      <c r="B20" s="146">
        <v>12.0</v>
      </c>
      <c r="C20" s="147" t="s">
        <v>73</v>
      </c>
      <c r="D20" s="139" t="s">
        <v>163</v>
      </c>
      <c r="E20" s="145" t="s">
        <v>164</v>
      </c>
      <c r="F20" s="148" t="s">
        <v>165</v>
      </c>
      <c r="G20" s="11"/>
      <c r="H20" s="11"/>
      <c r="I20" s="11"/>
      <c r="J20" s="11"/>
      <c r="K20" s="11"/>
      <c r="L20" s="11"/>
      <c r="M20" s="11"/>
      <c r="N20" s="11"/>
      <c r="O20" s="11"/>
      <c r="P20" s="11"/>
      <c r="Q20" s="11"/>
      <c r="R20" s="11"/>
      <c r="S20" s="11"/>
      <c r="T20" s="11"/>
      <c r="U20" s="11"/>
      <c r="V20" s="11"/>
      <c r="W20" s="11"/>
      <c r="X20" s="11"/>
      <c r="Y20" s="11"/>
      <c r="Z20" s="11"/>
    </row>
    <row r="21" ht="12.75" customHeight="1">
      <c r="A21" s="11"/>
      <c r="B21" s="112"/>
      <c r="C21" s="113"/>
      <c r="D21" s="113"/>
      <c r="E21" s="113"/>
      <c r="F21" s="113"/>
      <c r="G21" s="11"/>
      <c r="H21" s="11"/>
      <c r="I21" s="11"/>
      <c r="J21" s="11"/>
      <c r="K21" s="11"/>
      <c r="L21" s="11"/>
      <c r="M21" s="11"/>
      <c r="N21" s="11"/>
      <c r="O21" s="11"/>
      <c r="P21" s="11"/>
      <c r="Q21" s="11"/>
      <c r="R21" s="11"/>
      <c r="S21" s="11"/>
      <c r="T21" s="11"/>
      <c r="U21" s="11"/>
      <c r="V21" s="11"/>
      <c r="W21" s="11"/>
      <c r="X21" s="11"/>
      <c r="Y21" s="11"/>
      <c r="Z21" s="11"/>
    </row>
    <row r="22" ht="12.75" customHeight="1">
      <c r="A22" s="11"/>
      <c r="B22" s="112"/>
      <c r="C22" s="113"/>
      <c r="D22" s="113"/>
      <c r="E22" s="113"/>
      <c r="F22" s="113"/>
      <c r="G22" s="11"/>
      <c r="H22" s="11"/>
      <c r="I22" s="11"/>
      <c r="J22" s="11"/>
      <c r="K22" s="11"/>
      <c r="L22" s="11"/>
      <c r="M22" s="11"/>
      <c r="N22" s="11"/>
      <c r="O22" s="11"/>
      <c r="P22" s="11"/>
      <c r="Q22" s="11"/>
      <c r="R22" s="11"/>
      <c r="S22" s="11"/>
      <c r="T22" s="11"/>
      <c r="U22" s="11"/>
      <c r="V22" s="11"/>
      <c r="W22" s="11"/>
      <c r="X22" s="11"/>
      <c r="Y22" s="11"/>
      <c r="Z22" s="11"/>
    </row>
    <row r="23" ht="12.75" customHeight="1">
      <c r="A23" s="11"/>
      <c r="B23" s="112"/>
      <c r="C23" s="113"/>
      <c r="D23" s="113"/>
      <c r="E23" s="113"/>
      <c r="F23" s="113"/>
      <c r="G23" s="11"/>
      <c r="H23" s="11"/>
      <c r="I23" s="11"/>
      <c r="J23" s="11"/>
      <c r="K23" s="11"/>
      <c r="L23" s="11"/>
      <c r="M23" s="11"/>
      <c r="N23" s="11"/>
      <c r="O23" s="11"/>
      <c r="P23" s="11"/>
      <c r="Q23" s="11"/>
      <c r="R23" s="11"/>
      <c r="S23" s="11"/>
      <c r="T23" s="11"/>
      <c r="U23" s="11"/>
      <c r="V23" s="11"/>
      <c r="W23" s="11"/>
      <c r="X23" s="11"/>
      <c r="Y23" s="11"/>
      <c r="Z23" s="11"/>
    </row>
    <row r="24" ht="12.75" customHeight="1">
      <c r="A24" s="11"/>
      <c r="B24" s="112"/>
      <c r="C24" s="113"/>
      <c r="D24" s="113"/>
      <c r="E24" s="113"/>
      <c r="F24" s="113"/>
      <c r="G24" s="11"/>
      <c r="H24" s="11"/>
      <c r="I24" s="11"/>
      <c r="J24" s="11"/>
      <c r="K24" s="11"/>
      <c r="L24" s="11"/>
      <c r="M24" s="11"/>
      <c r="N24" s="11"/>
      <c r="O24" s="11"/>
      <c r="P24" s="11"/>
      <c r="Q24" s="11"/>
      <c r="R24" s="11"/>
      <c r="S24" s="11"/>
      <c r="T24" s="11"/>
      <c r="U24" s="11"/>
      <c r="V24" s="11"/>
      <c r="W24" s="11"/>
      <c r="X24" s="11"/>
      <c r="Y24" s="11"/>
      <c r="Z24" s="11"/>
    </row>
    <row r="25" ht="12.75" customHeight="1">
      <c r="A25" s="11"/>
      <c r="B25" s="112"/>
      <c r="C25" s="113"/>
      <c r="D25" s="113"/>
      <c r="E25" s="113"/>
      <c r="F25" s="113"/>
      <c r="G25" s="11"/>
      <c r="H25" s="11"/>
      <c r="I25" s="11"/>
      <c r="J25" s="11"/>
      <c r="K25" s="11"/>
      <c r="L25" s="11"/>
      <c r="M25" s="11"/>
      <c r="N25" s="11"/>
      <c r="O25" s="11"/>
      <c r="P25" s="11"/>
      <c r="Q25" s="11"/>
      <c r="R25" s="11"/>
      <c r="S25" s="11"/>
      <c r="T25" s="11"/>
      <c r="U25" s="11"/>
      <c r="V25" s="11"/>
      <c r="W25" s="11"/>
      <c r="X25" s="11"/>
      <c r="Y25" s="11"/>
      <c r="Z25" s="11"/>
    </row>
    <row r="26" ht="12.75" customHeight="1">
      <c r="A26" s="11"/>
      <c r="B26" s="112"/>
      <c r="C26" s="113"/>
      <c r="D26" s="113"/>
      <c r="E26" s="113"/>
      <c r="F26" s="113"/>
      <c r="G26" s="11"/>
      <c r="H26" s="11"/>
      <c r="I26" s="11"/>
      <c r="J26" s="11"/>
      <c r="K26" s="11"/>
      <c r="L26" s="11"/>
      <c r="M26" s="11"/>
      <c r="N26" s="11"/>
      <c r="O26" s="11"/>
      <c r="P26" s="11"/>
      <c r="Q26" s="11"/>
      <c r="R26" s="11"/>
      <c r="S26" s="11"/>
      <c r="T26" s="11"/>
      <c r="U26" s="11"/>
      <c r="V26" s="11"/>
      <c r="W26" s="11"/>
      <c r="X26" s="11"/>
      <c r="Y26" s="11"/>
      <c r="Z26" s="11"/>
    </row>
    <row r="27" ht="12.75" customHeight="1">
      <c r="A27" s="11"/>
      <c r="B27" s="112"/>
      <c r="C27" s="113"/>
      <c r="D27" s="113"/>
      <c r="E27" s="113"/>
      <c r="F27" s="113"/>
      <c r="G27" s="11"/>
      <c r="H27" s="11"/>
      <c r="I27" s="11"/>
      <c r="J27" s="11"/>
      <c r="K27" s="11"/>
      <c r="L27" s="11"/>
      <c r="M27" s="11"/>
      <c r="N27" s="11"/>
      <c r="O27" s="11"/>
      <c r="P27" s="11"/>
      <c r="Q27" s="11"/>
      <c r="R27" s="11"/>
      <c r="S27" s="11"/>
      <c r="T27" s="11"/>
      <c r="U27" s="11"/>
      <c r="V27" s="11"/>
      <c r="W27" s="11"/>
      <c r="X27" s="11"/>
      <c r="Y27" s="11"/>
      <c r="Z27" s="11"/>
    </row>
    <row r="28" ht="12.75" customHeight="1">
      <c r="A28" s="11"/>
      <c r="B28" s="112"/>
      <c r="C28" s="113"/>
      <c r="D28" s="113"/>
      <c r="F28" s="113"/>
      <c r="G28" s="11"/>
      <c r="H28" s="11"/>
      <c r="I28" s="11"/>
      <c r="J28" s="11"/>
      <c r="K28" s="11"/>
      <c r="L28" s="11"/>
      <c r="M28" s="11"/>
      <c r="N28" s="11"/>
      <c r="O28" s="11"/>
      <c r="P28" s="11"/>
      <c r="Q28" s="11"/>
      <c r="R28" s="11"/>
      <c r="S28" s="11"/>
      <c r="T28" s="11"/>
      <c r="U28" s="11"/>
      <c r="V28" s="11"/>
      <c r="W28" s="11"/>
      <c r="X28" s="11"/>
      <c r="Y28" s="11"/>
      <c r="Z28" s="11"/>
    </row>
    <row r="29" ht="12.75" customHeight="1">
      <c r="A29" s="11"/>
      <c r="B29" s="112"/>
      <c r="C29" s="113"/>
      <c r="D29" s="113"/>
      <c r="E29" s="113"/>
      <c r="F29" s="113"/>
      <c r="G29" s="11"/>
      <c r="H29" s="11"/>
      <c r="I29" s="11"/>
      <c r="J29" s="11"/>
      <c r="K29" s="11"/>
      <c r="L29" s="11"/>
      <c r="M29" s="11"/>
      <c r="N29" s="11"/>
      <c r="O29" s="11"/>
      <c r="P29" s="11"/>
      <c r="Q29" s="11"/>
      <c r="R29" s="11"/>
      <c r="S29" s="11"/>
      <c r="T29" s="11"/>
      <c r="U29" s="11"/>
      <c r="V29" s="11"/>
      <c r="W29" s="11"/>
      <c r="X29" s="11"/>
      <c r="Y29" s="11"/>
      <c r="Z29" s="11"/>
    </row>
    <row r="30" ht="12.75" customHeight="1">
      <c r="A30" s="11"/>
      <c r="B30" s="112"/>
      <c r="C30" s="113"/>
      <c r="D30" s="113"/>
      <c r="E30" s="113"/>
      <c r="F30" s="113"/>
      <c r="G30" s="11"/>
      <c r="H30" s="11"/>
      <c r="I30" s="11"/>
      <c r="J30" s="11"/>
      <c r="K30" s="11"/>
      <c r="L30" s="11"/>
      <c r="M30" s="11"/>
      <c r="N30" s="11"/>
      <c r="O30" s="11"/>
      <c r="P30" s="11"/>
      <c r="Q30" s="11"/>
      <c r="R30" s="11"/>
      <c r="S30" s="11"/>
      <c r="T30" s="11"/>
      <c r="U30" s="11"/>
      <c r="V30" s="11"/>
      <c r="W30" s="11"/>
      <c r="X30" s="11"/>
      <c r="Y30" s="11"/>
      <c r="Z30" s="11"/>
    </row>
    <row r="31" ht="12.75" customHeight="1">
      <c r="A31" s="11"/>
      <c r="B31" s="112"/>
      <c r="C31" s="113"/>
      <c r="D31" s="113"/>
      <c r="E31" s="113"/>
      <c r="F31" s="113"/>
      <c r="G31" s="11"/>
      <c r="H31" s="11"/>
      <c r="I31" s="11"/>
      <c r="J31" s="11"/>
      <c r="K31" s="11"/>
      <c r="L31" s="11"/>
      <c r="M31" s="11"/>
      <c r="N31" s="11"/>
      <c r="O31" s="11"/>
      <c r="P31" s="11"/>
      <c r="Q31" s="11"/>
      <c r="R31" s="11"/>
      <c r="S31" s="11"/>
      <c r="T31" s="11"/>
      <c r="U31" s="11"/>
      <c r="V31" s="11"/>
      <c r="W31" s="11"/>
      <c r="X31" s="11"/>
      <c r="Y31" s="11"/>
      <c r="Z31" s="11"/>
    </row>
    <row r="32" ht="12.75" customHeight="1">
      <c r="A32" s="11"/>
      <c r="B32" s="112"/>
      <c r="C32" s="113"/>
      <c r="D32" s="113"/>
      <c r="E32" s="113"/>
      <c r="F32" s="113"/>
      <c r="G32" s="11"/>
      <c r="H32" s="11"/>
      <c r="I32" s="11"/>
      <c r="J32" s="11"/>
      <c r="K32" s="11"/>
      <c r="L32" s="11"/>
      <c r="M32" s="11"/>
      <c r="N32" s="11"/>
      <c r="O32" s="11"/>
      <c r="P32" s="11"/>
      <c r="Q32" s="11"/>
      <c r="R32" s="11"/>
      <c r="S32" s="11"/>
      <c r="T32" s="11"/>
      <c r="U32" s="11"/>
      <c r="V32" s="11"/>
      <c r="W32" s="11"/>
      <c r="X32" s="11"/>
      <c r="Y32" s="11"/>
      <c r="Z32" s="11"/>
    </row>
    <row r="33" ht="12.75" customHeight="1">
      <c r="A33" s="11"/>
      <c r="B33" s="112"/>
      <c r="C33" s="113"/>
      <c r="D33" s="113"/>
      <c r="E33" s="113"/>
      <c r="F33" s="113"/>
      <c r="G33" s="11"/>
      <c r="H33" s="11"/>
      <c r="I33" s="11"/>
      <c r="J33" s="11"/>
      <c r="K33" s="11"/>
      <c r="L33" s="11"/>
      <c r="M33" s="11"/>
      <c r="N33" s="11"/>
      <c r="O33" s="11"/>
      <c r="P33" s="11"/>
      <c r="Q33" s="11"/>
      <c r="R33" s="11"/>
      <c r="S33" s="11"/>
      <c r="T33" s="11"/>
      <c r="U33" s="11"/>
      <c r="V33" s="11"/>
      <c r="W33" s="11"/>
      <c r="X33" s="11"/>
      <c r="Y33" s="11"/>
      <c r="Z33" s="11"/>
    </row>
    <row r="34" ht="12.75" customHeight="1">
      <c r="A34" s="11"/>
      <c r="B34" s="112"/>
      <c r="C34" s="113"/>
      <c r="D34" s="113"/>
      <c r="E34" s="113"/>
      <c r="F34" s="113"/>
      <c r="G34" s="11"/>
      <c r="H34" s="11"/>
      <c r="I34" s="11"/>
      <c r="J34" s="11"/>
      <c r="K34" s="11"/>
      <c r="L34" s="11"/>
      <c r="M34" s="11"/>
      <c r="N34" s="11"/>
      <c r="O34" s="11"/>
      <c r="P34" s="11"/>
      <c r="Q34" s="11"/>
      <c r="R34" s="11"/>
      <c r="S34" s="11"/>
      <c r="T34" s="11"/>
      <c r="U34" s="11"/>
      <c r="V34" s="11"/>
      <c r="W34" s="11"/>
      <c r="X34" s="11"/>
      <c r="Y34" s="11"/>
      <c r="Z34" s="11"/>
    </row>
    <row r="35" ht="12.75" customHeight="1">
      <c r="A35" s="11"/>
      <c r="B35" s="112"/>
      <c r="C35" s="113"/>
      <c r="D35" s="113"/>
      <c r="E35" s="113"/>
      <c r="F35" s="113"/>
      <c r="G35" s="11"/>
      <c r="H35" s="11"/>
      <c r="I35" s="11"/>
      <c r="J35" s="11"/>
      <c r="K35" s="11"/>
      <c r="L35" s="11"/>
      <c r="M35" s="11"/>
      <c r="N35" s="11"/>
      <c r="O35" s="11"/>
      <c r="P35" s="11"/>
      <c r="Q35" s="11"/>
      <c r="R35" s="11"/>
      <c r="S35" s="11"/>
      <c r="T35" s="11"/>
      <c r="U35" s="11"/>
      <c r="V35" s="11"/>
      <c r="W35" s="11"/>
      <c r="X35" s="11"/>
      <c r="Y35" s="11"/>
      <c r="Z35" s="11"/>
    </row>
    <row r="36" ht="12.75" customHeight="1">
      <c r="A36" s="11"/>
      <c r="B36" s="112"/>
      <c r="C36" s="113"/>
      <c r="D36" s="113"/>
      <c r="E36" s="113"/>
      <c r="F36" s="113"/>
      <c r="G36" s="11"/>
      <c r="H36" s="11"/>
      <c r="I36" s="11"/>
      <c r="J36" s="11"/>
      <c r="K36" s="11"/>
      <c r="L36" s="11"/>
      <c r="M36" s="11"/>
      <c r="N36" s="11"/>
      <c r="O36" s="11"/>
      <c r="P36" s="11"/>
      <c r="Q36" s="11"/>
      <c r="R36" s="11"/>
      <c r="S36" s="11"/>
      <c r="T36" s="11"/>
      <c r="U36" s="11"/>
      <c r="V36" s="11"/>
      <c r="W36" s="11"/>
      <c r="X36" s="11"/>
      <c r="Y36" s="11"/>
      <c r="Z36" s="11"/>
    </row>
    <row r="37" ht="12.75" customHeight="1">
      <c r="A37" s="11"/>
      <c r="B37" s="112"/>
      <c r="C37" s="113"/>
      <c r="D37" s="113"/>
      <c r="E37" s="113"/>
      <c r="F37" s="113"/>
      <c r="G37" s="11"/>
      <c r="H37" s="11"/>
      <c r="I37" s="11"/>
      <c r="J37" s="11"/>
      <c r="K37" s="11"/>
      <c r="L37" s="11"/>
      <c r="M37" s="11"/>
      <c r="N37" s="11"/>
      <c r="O37" s="11"/>
      <c r="P37" s="11"/>
      <c r="Q37" s="11"/>
      <c r="R37" s="11"/>
      <c r="S37" s="11"/>
      <c r="T37" s="11"/>
      <c r="U37" s="11"/>
      <c r="V37" s="11"/>
      <c r="W37" s="11"/>
      <c r="X37" s="11"/>
      <c r="Y37" s="11"/>
      <c r="Z37" s="11"/>
    </row>
    <row r="38" ht="12.75" customHeight="1">
      <c r="A38" s="11"/>
      <c r="B38" s="112"/>
      <c r="C38" s="113"/>
      <c r="D38" s="113"/>
      <c r="E38" s="113"/>
      <c r="F38" s="113"/>
      <c r="G38" s="11"/>
      <c r="H38" s="11"/>
      <c r="I38" s="11"/>
      <c r="J38" s="11"/>
      <c r="K38" s="11"/>
      <c r="L38" s="11"/>
      <c r="M38" s="11"/>
      <c r="N38" s="11"/>
      <c r="O38" s="11"/>
      <c r="P38" s="11"/>
      <c r="Q38" s="11"/>
      <c r="R38" s="11"/>
      <c r="S38" s="11"/>
      <c r="T38" s="11"/>
      <c r="U38" s="11"/>
      <c r="V38" s="11"/>
      <c r="W38" s="11"/>
      <c r="X38" s="11"/>
      <c r="Y38" s="11"/>
      <c r="Z38" s="11"/>
    </row>
    <row r="39" ht="12.75" customHeight="1">
      <c r="A39" s="11"/>
      <c r="B39" s="112"/>
      <c r="C39" s="113"/>
      <c r="D39" s="113"/>
      <c r="E39" s="113"/>
      <c r="F39" s="113"/>
      <c r="G39" s="11"/>
      <c r="H39" s="11"/>
      <c r="I39" s="11"/>
      <c r="J39" s="11"/>
      <c r="K39" s="11"/>
      <c r="L39" s="11"/>
      <c r="M39" s="11"/>
      <c r="N39" s="11"/>
      <c r="O39" s="11"/>
      <c r="P39" s="11"/>
      <c r="Q39" s="11"/>
      <c r="R39" s="11"/>
      <c r="S39" s="11"/>
      <c r="T39" s="11"/>
      <c r="U39" s="11"/>
      <c r="V39" s="11"/>
      <c r="W39" s="11"/>
      <c r="X39" s="11"/>
      <c r="Y39" s="11"/>
      <c r="Z39" s="11"/>
    </row>
    <row r="40" ht="12.75" customHeight="1">
      <c r="A40" s="11"/>
      <c r="B40" s="112"/>
      <c r="C40" s="113"/>
      <c r="D40" s="113"/>
      <c r="E40" s="113"/>
      <c r="F40" s="113"/>
      <c r="G40" s="11"/>
      <c r="H40" s="11"/>
      <c r="I40" s="11"/>
      <c r="J40" s="11"/>
      <c r="K40" s="11"/>
      <c r="L40" s="11"/>
      <c r="M40" s="11"/>
      <c r="N40" s="11"/>
      <c r="O40" s="11"/>
      <c r="P40" s="11"/>
      <c r="Q40" s="11"/>
      <c r="R40" s="11"/>
      <c r="S40" s="11"/>
      <c r="T40" s="11"/>
      <c r="U40" s="11"/>
      <c r="V40" s="11"/>
      <c r="W40" s="11"/>
      <c r="X40" s="11"/>
      <c r="Y40" s="11"/>
      <c r="Z40" s="11"/>
    </row>
    <row r="41" ht="12.75" customHeight="1">
      <c r="A41" s="11"/>
      <c r="B41" s="112"/>
      <c r="C41" s="113"/>
      <c r="D41" s="113"/>
      <c r="E41" s="113"/>
      <c r="F41" s="113"/>
      <c r="G41" s="11"/>
      <c r="H41" s="11"/>
      <c r="I41" s="11"/>
      <c r="J41" s="11"/>
      <c r="K41" s="11"/>
      <c r="L41" s="11"/>
      <c r="M41" s="11"/>
      <c r="N41" s="11"/>
      <c r="O41" s="11"/>
      <c r="P41" s="11"/>
      <c r="Q41" s="11"/>
      <c r="R41" s="11"/>
      <c r="S41" s="11"/>
      <c r="T41" s="11"/>
      <c r="U41" s="11"/>
      <c r="V41" s="11"/>
      <c r="W41" s="11"/>
      <c r="X41" s="11"/>
      <c r="Y41" s="11"/>
      <c r="Z41" s="11"/>
    </row>
    <row r="42" ht="12.75" customHeight="1">
      <c r="A42" s="11"/>
      <c r="B42" s="112"/>
      <c r="C42" s="113"/>
      <c r="D42" s="113"/>
      <c r="E42" s="113"/>
      <c r="F42" s="113"/>
      <c r="G42" s="11"/>
      <c r="H42" s="11"/>
      <c r="I42" s="11"/>
      <c r="J42" s="11"/>
      <c r="K42" s="11"/>
      <c r="L42" s="11"/>
      <c r="M42" s="11"/>
      <c r="N42" s="11"/>
      <c r="O42" s="11"/>
      <c r="P42" s="11"/>
      <c r="Q42" s="11"/>
      <c r="R42" s="11"/>
      <c r="S42" s="11"/>
      <c r="T42" s="11"/>
      <c r="U42" s="11"/>
      <c r="V42" s="11"/>
      <c r="W42" s="11"/>
      <c r="X42" s="11"/>
      <c r="Y42" s="11"/>
      <c r="Z42" s="11"/>
    </row>
    <row r="43" ht="12.75" customHeight="1">
      <c r="A43" s="11"/>
      <c r="B43" s="112"/>
      <c r="C43" s="113"/>
      <c r="D43" s="113"/>
      <c r="E43" s="113"/>
      <c r="F43" s="113"/>
      <c r="G43" s="11"/>
      <c r="H43" s="11"/>
      <c r="I43" s="11"/>
      <c r="J43" s="11"/>
      <c r="K43" s="11"/>
      <c r="L43" s="11"/>
      <c r="M43" s="11"/>
      <c r="N43" s="11"/>
      <c r="O43" s="11"/>
      <c r="P43" s="11"/>
      <c r="Q43" s="11"/>
      <c r="R43" s="11"/>
      <c r="S43" s="11"/>
      <c r="T43" s="11"/>
      <c r="U43" s="11"/>
      <c r="V43" s="11"/>
      <c r="W43" s="11"/>
      <c r="X43" s="11"/>
      <c r="Y43" s="11"/>
      <c r="Z43" s="11"/>
    </row>
    <row r="44" ht="12.75" customHeight="1">
      <c r="A44" s="11"/>
      <c r="B44" s="112"/>
      <c r="C44" s="113"/>
      <c r="D44" s="113"/>
      <c r="E44" s="113"/>
      <c r="F44" s="113"/>
      <c r="G44" s="11"/>
      <c r="H44" s="11"/>
      <c r="I44" s="11"/>
      <c r="J44" s="11"/>
      <c r="K44" s="11"/>
      <c r="L44" s="11"/>
      <c r="M44" s="11"/>
      <c r="N44" s="11"/>
      <c r="O44" s="11"/>
      <c r="P44" s="11"/>
      <c r="Q44" s="11"/>
      <c r="R44" s="11"/>
      <c r="S44" s="11"/>
      <c r="T44" s="11"/>
      <c r="U44" s="11"/>
      <c r="V44" s="11"/>
      <c r="W44" s="11"/>
      <c r="X44" s="11"/>
      <c r="Y44" s="11"/>
      <c r="Z44" s="11"/>
    </row>
    <row r="45" ht="12.75" customHeight="1">
      <c r="A45" s="11"/>
      <c r="B45" s="112"/>
      <c r="C45" s="113"/>
      <c r="D45" s="113"/>
      <c r="E45" s="113"/>
      <c r="F45" s="113"/>
      <c r="G45" s="11"/>
      <c r="H45" s="11"/>
      <c r="I45" s="11"/>
      <c r="J45" s="11"/>
      <c r="K45" s="11"/>
      <c r="L45" s="11"/>
      <c r="M45" s="11"/>
      <c r="N45" s="11"/>
      <c r="O45" s="11"/>
      <c r="P45" s="11"/>
      <c r="Q45" s="11"/>
      <c r="R45" s="11"/>
      <c r="S45" s="11"/>
      <c r="T45" s="11"/>
      <c r="U45" s="11"/>
      <c r="V45" s="11"/>
      <c r="W45" s="11"/>
      <c r="X45" s="11"/>
      <c r="Y45" s="11"/>
      <c r="Z45" s="11"/>
    </row>
    <row r="46" ht="12.75" customHeight="1">
      <c r="A46" s="11"/>
      <c r="B46" s="112"/>
      <c r="C46" s="113"/>
      <c r="D46" s="113"/>
      <c r="E46" s="113"/>
      <c r="F46" s="113"/>
      <c r="G46" s="11"/>
      <c r="H46" s="11"/>
      <c r="I46" s="11"/>
      <c r="J46" s="11"/>
      <c r="K46" s="11"/>
      <c r="L46" s="11"/>
      <c r="M46" s="11"/>
      <c r="N46" s="11"/>
      <c r="O46" s="11"/>
      <c r="P46" s="11"/>
      <c r="Q46" s="11"/>
      <c r="R46" s="11"/>
      <c r="S46" s="11"/>
      <c r="T46" s="11"/>
      <c r="U46" s="11"/>
      <c r="V46" s="11"/>
      <c r="W46" s="11"/>
      <c r="X46" s="11"/>
      <c r="Y46" s="11"/>
      <c r="Z46" s="11"/>
    </row>
    <row r="47" ht="12.75" customHeight="1">
      <c r="A47" s="11"/>
      <c r="B47" s="112"/>
      <c r="C47" s="113"/>
      <c r="D47" s="113"/>
      <c r="E47" s="113"/>
      <c r="F47" s="113"/>
      <c r="G47" s="11"/>
      <c r="H47" s="11"/>
      <c r="I47" s="11"/>
      <c r="J47" s="11"/>
      <c r="K47" s="11"/>
      <c r="L47" s="11"/>
      <c r="M47" s="11"/>
      <c r="N47" s="11"/>
      <c r="O47" s="11"/>
      <c r="P47" s="11"/>
      <c r="Q47" s="11"/>
      <c r="R47" s="11"/>
      <c r="S47" s="11"/>
      <c r="T47" s="11"/>
      <c r="U47" s="11"/>
      <c r="V47" s="11"/>
      <c r="W47" s="11"/>
      <c r="X47" s="11"/>
      <c r="Y47" s="11"/>
      <c r="Z47" s="11"/>
    </row>
    <row r="48" ht="12.75" customHeight="1">
      <c r="A48" s="11"/>
      <c r="B48" s="112"/>
      <c r="C48" s="113"/>
      <c r="D48" s="113"/>
      <c r="E48" s="113"/>
      <c r="F48" s="113"/>
      <c r="G48" s="11"/>
      <c r="H48" s="11"/>
      <c r="I48" s="11"/>
      <c r="J48" s="11"/>
      <c r="K48" s="11"/>
      <c r="L48" s="11"/>
      <c r="M48" s="11"/>
      <c r="N48" s="11"/>
      <c r="O48" s="11"/>
      <c r="P48" s="11"/>
      <c r="Q48" s="11"/>
      <c r="R48" s="11"/>
      <c r="S48" s="11"/>
      <c r="T48" s="11"/>
      <c r="U48" s="11"/>
      <c r="V48" s="11"/>
      <c r="W48" s="11"/>
      <c r="X48" s="11"/>
      <c r="Y48" s="11"/>
      <c r="Z48" s="11"/>
    </row>
    <row r="49" ht="12.75" customHeight="1">
      <c r="A49" s="11"/>
      <c r="B49" s="112"/>
      <c r="C49" s="113"/>
      <c r="D49" s="113"/>
      <c r="E49" s="113"/>
      <c r="F49" s="113"/>
      <c r="G49" s="11"/>
      <c r="H49" s="11"/>
      <c r="I49" s="11"/>
      <c r="J49" s="11"/>
      <c r="K49" s="11"/>
      <c r="L49" s="11"/>
      <c r="M49" s="11"/>
      <c r="N49" s="11"/>
      <c r="O49" s="11"/>
      <c r="P49" s="11"/>
      <c r="Q49" s="11"/>
      <c r="R49" s="11"/>
      <c r="S49" s="11"/>
      <c r="T49" s="11"/>
      <c r="U49" s="11"/>
      <c r="V49" s="11"/>
      <c r="W49" s="11"/>
      <c r="X49" s="11"/>
      <c r="Y49" s="11"/>
      <c r="Z49" s="11"/>
    </row>
    <row r="50" ht="12.75" customHeight="1">
      <c r="A50" s="11"/>
      <c r="B50" s="112"/>
      <c r="C50" s="113"/>
      <c r="D50" s="113"/>
      <c r="E50" s="113"/>
      <c r="F50" s="113"/>
      <c r="G50" s="11"/>
      <c r="H50" s="11"/>
      <c r="I50" s="11"/>
      <c r="J50" s="11"/>
      <c r="K50" s="11"/>
      <c r="L50" s="11"/>
      <c r="M50" s="11"/>
      <c r="N50" s="11"/>
      <c r="O50" s="11"/>
      <c r="P50" s="11"/>
      <c r="Q50" s="11"/>
      <c r="R50" s="11"/>
      <c r="S50" s="11"/>
      <c r="T50" s="11"/>
      <c r="U50" s="11"/>
      <c r="V50" s="11"/>
      <c r="W50" s="11"/>
      <c r="X50" s="11"/>
      <c r="Y50" s="11"/>
      <c r="Z50" s="11"/>
    </row>
    <row r="51" ht="12.75" customHeight="1">
      <c r="A51" s="11"/>
      <c r="B51" s="112"/>
      <c r="C51" s="113"/>
      <c r="D51" s="113"/>
      <c r="E51" s="113"/>
      <c r="F51" s="113"/>
      <c r="G51" s="11"/>
      <c r="H51" s="11"/>
      <c r="I51" s="11"/>
      <c r="J51" s="11"/>
      <c r="K51" s="11"/>
      <c r="L51" s="11"/>
      <c r="M51" s="11"/>
      <c r="N51" s="11"/>
      <c r="O51" s="11"/>
      <c r="P51" s="11"/>
      <c r="Q51" s="11"/>
      <c r="R51" s="11"/>
      <c r="S51" s="11"/>
      <c r="T51" s="11"/>
      <c r="U51" s="11"/>
      <c r="V51" s="11"/>
      <c r="W51" s="11"/>
      <c r="X51" s="11"/>
      <c r="Y51" s="11"/>
      <c r="Z51" s="11"/>
    </row>
    <row r="52" ht="12.75" customHeight="1">
      <c r="A52" s="11"/>
      <c r="B52" s="112"/>
      <c r="C52" s="113"/>
      <c r="D52" s="113"/>
      <c r="E52" s="113"/>
      <c r="F52" s="113"/>
      <c r="G52" s="11"/>
      <c r="H52" s="11"/>
      <c r="I52" s="11"/>
      <c r="J52" s="11"/>
      <c r="K52" s="11"/>
      <c r="L52" s="11"/>
      <c r="M52" s="11"/>
      <c r="N52" s="11"/>
      <c r="O52" s="11"/>
      <c r="P52" s="11"/>
      <c r="Q52" s="11"/>
      <c r="R52" s="11"/>
      <c r="S52" s="11"/>
      <c r="T52" s="11"/>
      <c r="U52" s="11"/>
      <c r="V52" s="11"/>
      <c r="W52" s="11"/>
      <c r="X52" s="11"/>
      <c r="Y52" s="11"/>
      <c r="Z52" s="11"/>
    </row>
    <row r="53" ht="12.75" customHeight="1">
      <c r="A53" s="11"/>
      <c r="B53" s="112"/>
      <c r="C53" s="113"/>
      <c r="D53" s="113"/>
      <c r="E53" s="113"/>
      <c r="F53" s="113"/>
      <c r="G53" s="11"/>
      <c r="H53" s="11"/>
      <c r="I53" s="11"/>
      <c r="J53" s="11"/>
      <c r="K53" s="11"/>
      <c r="L53" s="11"/>
      <c r="M53" s="11"/>
      <c r="N53" s="11"/>
      <c r="O53" s="11"/>
      <c r="P53" s="11"/>
      <c r="Q53" s="11"/>
      <c r="R53" s="11"/>
      <c r="S53" s="11"/>
      <c r="T53" s="11"/>
      <c r="U53" s="11"/>
      <c r="V53" s="11"/>
      <c r="W53" s="11"/>
      <c r="X53" s="11"/>
      <c r="Y53" s="11"/>
      <c r="Z53" s="11"/>
    </row>
    <row r="54" ht="12.75" customHeight="1">
      <c r="A54" s="11"/>
      <c r="B54" s="112"/>
      <c r="C54" s="113"/>
      <c r="D54" s="113"/>
      <c r="E54" s="113"/>
      <c r="F54" s="113"/>
      <c r="G54" s="11"/>
      <c r="H54" s="11"/>
      <c r="I54" s="11"/>
      <c r="J54" s="11"/>
      <c r="K54" s="11"/>
      <c r="L54" s="11"/>
      <c r="M54" s="11"/>
      <c r="N54" s="11"/>
      <c r="O54" s="11"/>
      <c r="P54" s="11"/>
      <c r="Q54" s="11"/>
      <c r="R54" s="11"/>
      <c r="S54" s="11"/>
      <c r="T54" s="11"/>
      <c r="U54" s="11"/>
      <c r="V54" s="11"/>
      <c r="W54" s="11"/>
      <c r="X54" s="11"/>
      <c r="Y54" s="11"/>
      <c r="Z54" s="11"/>
    </row>
    <row r="55" ht="12.75" customHeight="1">
      <c r="A55" s="11"/>
      <c r="B55" s="112"/>
      <c r="C55" s="113"/>
      <c r="D55" s="113"/>
      <c r="E55" s="113"/>
      <c r="F55" s="113"/>
      <c r="G55" s="11"/>
      <c r="H55" s="11"/>
      <c r="I55" s="11"/>
      <c r="J55" s="11"/>
      <c r="K55" s="11"/>
      <c r="L55" s="11"/>
      <c r="M55" s="11"/>
      <c r="N55" s="11"/>
      <c r="O55" s="11"/>
      <c r="P55" s="11"/>
      <c r="Q55" s="11"/>
      <c r="R55" s="11"/>
      <c r="S55" s="11"/>
      <c r="T55" s="11"/>
      <c r="U55" s="11"/>
      <c r="V55" s="11"/>
      <c r="W55" s="11"/>
      <c r="X55" s="11"/>
      <c r="Y55" s="11"/>
      <c r="Z55" s="11"/>
    </row>
    <row r="56" ht="12.75" customHeight="1">
      <c r="A56" s="11"/>
      <c r="B56" s="112"/>
      <c r="C56" s="113"/>
      <c r="D56" s="113"/>
      <c r="E56" s="113"/>
      <c r="F56" s="113"/>
      <c r="G56" s="11"/>
      <c r="H56" s="11"/>
      <c r="I56" s="11"/>
      <c r="J56" s="11"/>
      <c r="K56" s="11"/>
      <c r="L56" s="11"/>
      <c r="M56" s="11"/>
      <c r="N56" s="11"/>
      <c r="O56" s="11"/>
      <c r="P56" s="11"/>
      <c r="Q56" s="11"/>
      <c r="R56" s="11"/>
      <c r="S56" s="11"/>
      <c r="T56" s="11"/>
      <c r="U56" s="11"/>
      <c r="V56" s="11"/>
      <c r="W56" s="11"/>
      <c r="X56" s="11"/>
      <c r="Y56" s="11"/>
      <c r="Z56" s="11"/>
    </row>
    <row r="57" ht="12.75" customHeight="1">
      <c r="A57" s="11"/>
      <c r="B57" s="112"/>
      <c r="C57" s="113"/>
      <c r="D57" s="113"/>
      <c r="E57" s="113"/>
      <c r="F57" s="113"/>
      <c r="G57" s="11"/>
      <c r="H57" s="11"/>
      <c r="I57" s="11"/>
      <c r="J57" s="11"/>
      <c r="K57" s="11"/>
      <c r="L57" s="11"/>
      <c r="M57" s="11"/>
      <c r="N57" s="11"/>
      <c r="O57" s="11"/>
      <c r="P57" s="11"/>
      <c r="Q57" s="11"/>
      <c r="R57" s="11"/>
      <c r="S57" s="11"/>
      <c r="T57" s="11"/>
      <c r="U57" s="11"/>
      <c r="V57" s="11"/>
      <c r="W57" s="11"/>
      <c r="X57" s="11"/>
      <c r="Y57" s="11"/>
      <c r="Z57" s="11"/>
    </row>
    <row r="58" ht="12.75" customHeight="1">
      <c r="A58" s="11"/>
      <c r="B58" s="112"/>
      <c r="C58" s="113"/>
      <c r="D58" s="113"/>
      <c r="E58" s="113"/>
      <c r="F58" s="113"/>
      <c r="G58" s="11"/>
      <c r="H58" s="11"/>
      <c r="I58" s="11"/>
      <c r="J58" s="11"/>
      <c r="K58" s="11"/>
      <c r="L58" s="11"/>
      <c r="M58" s="11"/>
      <c r="N58" s="11"/>
      <c r="O58" s="11"/>
      <c r="P58" s="11"/>
      <c r="Q58" s="11"/>
      <c r="R58" s="11"/>
      <c r="S58" s="11"/>
      <c r="T58" s="11"/>
      <c r="U58" s="11"/>
      <c r="V58" s="11"/>
      <c r="W58" s="11"/>
      <c r="X58" s="11"/>
      <c r="Y58" s="11"/>
      <c r="Z58" s="11"/>
    </row>
    <row r="59" ht="12.75" customHeight="1">
      <c r="A59" s="11"/>
      <c r="B59" s="112"/>
      <c r="C59" s="113"/>
      <c r="D59" s="113"/>
      <c r="E59" s="113"/>
      <c r="F59" s="113"/>
      <c r="G59" s="11"/>
      <c r="H59" s="11"/>
      <c r="I59" s="11"/>
      <c r="J59" s="11"/>
      <c r="K59" s="11"/>
      <c r="L59" s="11"/>
      <c r="M59" s="11"/>
      <c r="N59" s="11"/>
      <c r="O59" s="11"/>
      <c r="P59" s="11"/>
      <c r="Q59" s="11"/>
      <c r="R59" s="11"/>
      <c r="S59" s="11"/>
      <c r="T59" s="11"/>
      <c r="U59" s="11"/>
      <c r="V59" s="11"/>
      <c r="W59" s="11"/>
      <c r="X59" s="11"/>
      <c r="Y59" s="11"/>
      <c r="Z59" s="11"/>
    </row>
    <row r="60" ht="12.75" customHeight="1">
      <c r="A60" s="11"/>
      <c r="B60" s="112"/>
      <c r="C60" s="113"/>
      <c r="D60" s="113"/>
      <c r="E60" s="113"/>
      <c r="F60" s="113"/>
      <c r="G60" s="11"/>
      <c r="H60" s="11"/>
      <c r="I60" s="11"/>
      <c r="J60" s="11"/>
      <c r="K60" s="11"/>
      <c r="L60" s="11"/>
      <c r="M60" s="11"/>
      <c r="N60" s="11"/>
      <c r="O60" s="11"/>
      <c r="P60" s="11"/>
      <c r="Q60" s="11"/>
      <c r="R60" s="11"/>
      <c r="S60" s="11"/>
      <c r="T60" s="11"/>
      <c r="U60" s="11"/>
      <c r="V60" s="11"/>
      <c r="W60" s="11"/>
      <c r="X60" s="11"/>
      <c r="Y60" s="11"/>
      <c r="Z60" s="11"/>
    </row>
    <row r="61" ht="12.75" customHeight="1">
      <c r="A61" s="11"/>
      <c r="B61" s="112"/>
      <c r="C61" s="113"/>
      <c r="D61" s="113"/>
      <c r="E61" s="113"/>
      <c r="F61" s="113"/>
      <c r="G61" s="11"/>
      <c r="H61" s="11"/>
      <c r="I61" s="11"/>
      <c r="J61" s="11"/>
      <c r="K61" s="11"/>
      <c r="L61" s="11"/>
      <c r="M61" s="11"/>
      <c r="N61" s="11"/>
      <c r="O61" s="11"/>
      <c r="P61" s="11"/>
      <c r="Q61" s="11"/>
      <c r="R61" s="11"/>
      <c r="S61" s="11"/>
      <c r="T61" s="11"/>
      <c r="U61" s="11"/>
      <c r="V61" s="11"/>
      <c r="W61" s="11"/>
      <c r="X61" s="11"/>
      <c r="Y61" s="11"/>
      <c r="Z61" s="11"/>
    </row>
    <row r="62" ht="12.75" customHeight="1">
      <c r="A62" s="11"/>
      <c r="B62" s="112"/>
      <c r="C62" s="113"/>
      <c r="D62" s="113"/>
      <c r="E62" s="113"/>
      <c r="F62" s="113"/>
      <c r="G62" s="11"/>
      <c r="H62" s="11"/>
      <c r="I62" s="11"/>
      <c r="J62" s="11"/>
      <c r="K62" s="11"/>
      <c r="L62" s="11"/>
      <c r="M62" s="11"/>
      <c r="N62" s="11"/>
      <c r="O62" s="11"/>
      <c r="P62" s="11"/>
      <c r="Q62" s="11"/>
      <c r="R62" s="11"/>
      <c r="S62" s="11"/>
      <c r="T62" s="11"/>
      <c r="U62" s="11"/>
      <c r="V62" s="11"/>
      <c r="W62" s="11"/>
      <c r="X62" s="11"/>
      <c r="Y62" s="11"/>
      <c r="Z62" s="11"/>
    </row>
    <row r="63" ht="12.75" customHeight="1">
      <c r="A63" s="11"/>
      <c r="B63" s="112"/>
      <c r="C63" s="113"/>
      <c r="D63" s="113"/>
      <c r="E63" s="113"/>
      <c r="F63" s="113"/>
      <c r="G63" s="11"/>
      <c r="H63" s="11"/>
      <c r="I63" s="11"/>
      <c r="J63" s="11"/>
      <c r="K63" s="11"/>
      <c r="L63" s="11"/>
      <c r="M63" s="11"/>
      <c r="N63" s="11"/>
      <c r="O63" s="11"/>
      <c r="P63" s="11"/>
      <c r="Q63" s="11"/>
      <c r="R63" s="11"/>
      <c r="S63" s="11"/>
      <c r="T63" s="11"/>
      <c r="U63" s="11"/>
      <c r="V63" s="11"/>
      <c r="W63" s="11"/>
      <c r="X63" s="11"/>
      <c r="Y63" s="11"/>
      <c r="Z63" s="11"/>
    </row>
    <row r="64" ht="12.75" customHeight="1">
      <c r="A64" s="11"/>
      <c r="B64" s="112"/>
      <c r="C64" s="113"/>
      <c r="D64" s="113"/>
      <c r="E64" s="113"/>
      <c r="F64" s="113"/>
      <c r="G64" s="11"/>
      <c r="H64" s="11"/>
      <c r="I64" s="11"/>
      <c r="J64" s="11"/>
      <c r="K64" s="11"/>
      <c r="L64" s="11"/>
      <c r="M64" s="11"/>
      <c r="N64" s="11"/>
      <c r="O64" s="11"/>
      <c r="P64" s="11"/>
      <c r="Q64" s="11"/>
      <c r="R64" s="11"/>
      <c r="S64" s="11"/>
      <c r="T64" s="11"/>
      <c r="U64" s="11"/>
      <c r="V64" s="11"/>
      <c r="W64" s="11"/>
      <c r="X64" s="11"/>
      <c r="Y64" s="11"/>
      <c r="Z64" s="11"/>
    </row>
    <row r="65" ht="12.75" customHeight="1">
      <c r="A65" s="11"/>
      <c r="B65" s="112"/>
      <c r="C65" s="113"/>
      <c r="D65" s="113"/>
      <c r="E65" s="113"/>
      <c r="F65" s="113"/>
      <c r="G65" s="11"/>
      <c r="H65" s="11"/>
      <c r="I65" s="11"/>
      <c r="J65" s="11"/>
      <c r="K65" s="11"/>
      <c r="L65" s="11"/>
      <c r="M65" s="11"/>
      <c r="N65" s="11"/>
      <c r="O65" s="11"/>
      <c r="P65" s="11"/>
      <c r="Q65" s="11"/>
      <c r="R65" s="11"/>
      <c r="S65" s="11"/>
      <c r="T65" s="11"/>
      <c r="U65" s="11"/>
      <c r="V65" s="11"/>
      <c r="W65" s="11"/>
      <c r="X65" s="11"/>
      <c r="Y65" s="11"/>
      <c r="Z65" s="11"/>
    </row>
    <row r="66" ht="12.75" customHeight="1">
      <c r="A66" s="11"/>
      <c r="B66" s="112"/>
      <c r="C66" s="113"/>
      <c r="D66" s="113"/>
      <c r="E66" s="113"/>
      <c r="F66" s="113"/>
      <c r="G66" s="11"/>
      <c r="H66" s="11"/>
      <c r="I66" s="11"/>
      <c r="J66" s="11"/>
      <c r="K66" s="11"/>
      <c r="L66" s="11"/>
      <c r="M66" s="11"/>
      <c r="N66" s="11"/>
      <c r="O66" s="11"/>
      <c r="P66" s="11"/>
      <c r="Q66" s="11"/>
      <c r="R66" s="11"/>
      <c r="S66" s="11"/>
      <c r="T66" s="11"/>
      <c r="U66" s="11"/>
      <c r="V66" s="11"/>
      <c r="W66" s="11"/>
      <c r="X66" s="11"/>
      <c r="Y66" s="11"/>
      <c r="Z66" s="11"/>
    </row>
    <row r="67" ht="12.75" customHeight="1">
      <c r="A67" s="11"/>
      <c r="B67" s="112"/>
      <c r="C67" s="113"/>
      <c r="D67" s="113"/>
      <c r="E67" s="113"/>
      <c r="F67" s="113"/>
      <c r="G67" s="11"/>
      <c r="H67" s="11"/>
      <c r="I67" s="11"/>
      <c r="J67" s="11"/>
      <c r="K67" s="11"/>
      <c r="L67" s="11"/>
      <c r="M67" s="11"/>
      <c r="N67" s="11"/>
      <c r="O67" s="11"/>
      <c r="P67" s="11"/>
      <c r="Q67" s="11"/>
      <c r="R67" s="11"/>
      <c r="S67" s="11"/>
      <c r="T67" s="11"/>
      <c r="U67" s="11"/>
      <c r="V67" s="11"/>
      <c r="W67" s="11"/>
      <c r="X67" s="11"/>
      <c r="Y67" s="11"/>
      <c r="Z67" s="11"/>
    </row>
    <row r="68" ht="12.75" customHeight="1">
      <c r="A68" s="11"/>
      <c r="B68" s="112"/>
      <c r="C68" s="113"/>
      <c r="D68" s="113"/>
      <c r="E68" s="113"/>
      <c r="F68" s="113"/>
      <c r="G68" s="11"/>
      <c r="H68" s="11"/>
      <c r="I68" s="11"/>
      <c r="J68" s="11"/>
      <c r="K68" s="11"/>
      <c r="L68" s="11"/>
      <c r="M68" s="11"/>
      <c r="N68" s="11"/>
      <c r="O68" s="11"/>
      <c r="P68" s="11"/>
      <c r="Q68" s="11"/>
      <c r="R68" s="11"/>
      <c r="S68" s="11"/>
      <c r="T68" s="11"/>
      <c r="U68" s="11"/>
      <c r="V68" s="11"/>
      <c r="W68" s="11"/>
      <c r="X68" s="11"/>
      <c r="Y68" s="11"/>
      <c r="Z68" s="11"/>
    </row>
    <row r="69" ht="12.75" customHeight="1">
      <c r="A69" s="11"/>
      <c r="B69" s="112"/>
      <c r="C69" s="113"/>
      <c r="D69" s="113"/>
      <c r="E69" s="113"/>
      <c r="F69" s="113"/>
      <c r="G69" s="11"/>
      <c r="H69" s="11"/>
      <c r="I69" s="11"/>
      <c r="J69" s="11"/>
      <c r="K69" s="11"/>
      <c r="L69" s="11"/>
      <c r="M69" s="11"/>
      <c r="N69" s="11"/>
      <c r="O69" s="11"/>
      <c r="P69" s="11"/>
      <c r="Q69" s="11"/>
      <c r="R69" s="11"/>
      <c r="S69" s="11"/>
      <c r="T69" s="11"/>
      <c r="U69" s="11"/>
      <c r="V69" s="11"/>
      <c r="W69" s="11"/>
      <c r="X69" s="11"/>
      <c r="Y69" s="11"/>
      <c r="Z69" s="11"/>
    </row>
    <row r="70" ht="12.75" customHeight="1">
      <c r="A70" s="11"/>
      <c r="B70" s="112"/>
      <c r="C70" s="113"/>
      <c r="D70" s="113"/>
      <c r="E70" s="113"/>
      <c r="F70" s="113"/>
      <c r="G70" s="11"/>
      <c r="H70" s="11"/>
      <c r="I70" s="11"/>
      <c r="J70" s="11"/>
      <c r="K70" s="11"/>
      <c r="L70" s="11"/>
      <c r="M70" s="11"/>
      <c r="N70" s="11"/>
      <c r="O70" s="11"/>
      <c r="P70" s="11"/>
      <c r="Q70" s="11"/>
      <c r="R70" s="11"/>
      <c r="S70" s="11"/>
      <c r="T70" s="11"/>
      <c r="U70" s="11"/>
      <c r="V70" s="11"/>
      <c r="W70" s="11"/>
      <c r="X70" s="11"/>
      <c r="Y70" s="11"/>
      <c r="Z70" s="11"/>
    </row>
    <row r="71" ht="12.75" customHeight="1">
      <c r="A71" s="11"/>
      <c r="B71" s="112"/>
      <c r="C71" s="113"/>
      <c r="D71" s="113"/>
      <c r="E71" s="113"/>
      <c r="F71" s="113"/>
      <c r="G71" s="11"/>
      <c r="H71" s="11"/>
      <c r="I71" s="11"/>
      <c r="J71" s="11"/>
      <c r="K71" s="11"/>
      <c r="L71" s="11"/>
      <c r="M71" s="11"/>
      <c r="N71" s="11"/>
      <c r="O71" s="11"/>
      <c r="P71" s="11"/>
      <c r="Q71" s="11"/>
      <c r="R71" s="11"/>
      <c r="S71" s="11"/>
      <c r="T71" s="11"/>
      <c r="U71" s="11"/>
      <c r="V71" s="11"/>
      <c r="W71" s="11"/>
      <c r="X71" s="11"/>
      <c r="Y71" s="11"/>
      <c r="Z71" s="11"/>
    </row>
    <row r="72" ht="12.75" customHeight="1">
      <c r="A72" s="11"/>
      <c r="B72" s="112"/>
      <c r="C72" s="113"/>
      <c r="D72" s="113"/>
      <c r="E72" s="113"/>
      <c r="F72" s="113"/>
      <c r="G72" s="11"/>
      <c r="H72" s="11"/>
      <c r="I72" s="11"/>
      <c r="J72" s="11"/>
      <c r="K72" s="11"/>
      <c r="L72" s="11"/>
      <c r="M72" s="11"/>
      <c r="N72" s="11"/>
      <c r="O72" s="11"/>
      <c r="P72" s="11"/>
      <c r="Q72" s="11"/>
      <c r="R72" s="11"/>
      <c r="S72" s="11"/>
      <c r="T72" s="11"/>
      <c r="U72" s="11"/>
      <c r="V72" s="11"/>
      <c r="W72" s="11"/>
      <c r="X72" s="11"/>
      <c r="Y72" s="11"/>
      <c r="Z72" s="11"/>
    </row>
    <row r="73" ht="12.75" customHeight="1">
      <c r="A73" s="11"/>
      <c r="B73" s="112"/>
      <c r="C73" s="113"/>
      <c r="D73" s="113"/>
      <c r="E73" s="113"/>
      <c r="F73" s="113"/>
      <c r="G73" s="11"/>
      <c r="H73" s="11"/>
      <c r="I73" s="11"/>
      <c r="J73" s="11"/>
      <c r="K73" s="11"/>
      <c r="L73" s="11"/>
      <c r="M73" s="11"/>
      <c r="N73" s="11"/>
      <c r="O73" s="11"/>
      <c r="P73" s="11"/>
      <c r="Q73" s="11"/>
      <c r="R73" s="11"/>
      <c r="S73" s="11"/>
      <c r="T73" s="11"/>
      <c r="U73" s="11"/>
      <c r="V73" s="11"/>
      <c r="W73" s="11"/>
      <c r="X73" s="11"/>
      <c r="Y73" s="11"/>
      <c r="Z73" s="11"/>
    </row>
    <row r="74" ht="12.75" customHeight="1">
      <c r="A74" s="11"/>
      <c r="B74" s="112"/>
      <c r="C74" s="113"/>
      <c r="D74" s="113"/>
      <c r="E74" s="113"/>
      <c r="F74" s="113"/>
      <c r="G74" s="11"/>
      <c r="H74" s="11"/>
      <c r="I74" s="11"/>
      <c r="J74" s="11"/>
      <c r="K74" s="11"/>
      <c r="L74" s="11"/>
      <c r="M74" s="11"/>
      <c r="N74" s="11"/>
      <c r="O74" s="11"/>
      <c r="P74" s="11"/>
      <c r="Q74" s="11"/>
      <c r="R74" s="11"/>
      <c r="S74" s="11"/>
      <c r="T74" s="11"/>
      <c r="U74" s="11"/>
      <c r="V74" s="11"/>
      <c r="W74" s="11"/>
      <c r="X74" s="11"/>
      <c r="Y74" s="11"/>
      <c r="Z74" s="11"/>
    </row>
    <row r="75" ht="12.75" customHeight="1">
      <c r="A75" s="11"/>
      <c r="B75" s="112"/>
      <c r="C75" s="113"/>
      <c r="D75" s="113"/>
      <c r="E75" s="113"/>
      <c r="F75" s="113"/>
      <c r="G75" s="11"/>
      <c r="H75" s="11"/>
      <c r="I75" s="11"/>
      <c r="J75" s="11"/>
      <c r="K75" s="11"/>
      <c r="L75" s="11"/>
      <c r="M75" s="11"/>
      <c r="N75" s="11"/>
      <c r="O75" s="11"/>
      <c r="P75" s="11"/>
      <c r="Q75" s="11"/>
      <c r="R75" s="11"/>
      <c r="S75" s="11"/>
      <c r="T75" s="11"/>
      <c r="U75" s="11"/>
      <c r="V75" s="11"/>
      <c r="W75" s="11"/>
      <c r="X75" s="11"/>
      <c r="Y75" s="11"/>
      <c r="Z75" s="11"/>
    </row>
    <row r="76" ht="12.75" customHeight="1">
      <c r="A76" s="11"/>
      <c r="B76" s="112"/>
      <c r="C76" s="113"/>
      <c r="D76" s="113"/>
      <c r="E76" s="113"/>
      <c r="F76" s="113"/>
      <c r="G76" s="11"/>
      <c r="H76" s="11"/>
      <c r="I76" s="11"/>
      <c r="J76" s="11"/>
      <c r="K76" s="11"/>
      <c r="L76" s="11"/>
      <c r="M76" s="11"/>
      <c r="N76" s="11"/>
      <c r="O76" s="11"/>
      <c r="P76" s="11"/>
      <c r="Q76" s="11"/>
      <c r="R76" s="11"/>
      <c r="S76" s="11"/>
      <c r="T76" s="11"/>
      <c r="U76" s="11"/>
      <c r="V76" s="11"/>
      <c r="W76" s="11"/>
      <c r="X76" s="11"/>
      <c r="Y76" s="11"/>
      <c r="Z76" s="11"/>
    </row>
    <row r="77" ht="12.75" customHeight="1">
      <c r="A77" s="11"/>
      <c r="B77" s="112"/>
      <c r="C77" s="113"/>
      <c r="D77" s="113"/>
      <c r="E77" s="113"/>
      <c r="F77" s="113"/>
      <c r="G77" s="11"/>
      <c r="H77" s="11"/>
      <c r="I77" s="11"/>
      <c r="J77" s="11"/>
      <c r="K77" s="11"/>
      <c r="L77" s="11"/>
      <c r="M77" s="11"/>
      <c r="N77" s="11"/>
      <c r="O77" s="11"/>
      <c r="P77" s="11"/>
      <c r="Q77" s="11"/>
      <c r="R77" s="11"/>
      <c r="S77" s="11"/>
      <c r="T77" s="11"/>
      <c r="U77" s="11"/>
      <c r="V77" s="11"/>
      <c r="W77" s="11"/>
      <c r="X77" s="11"/>
      <c r="Y77" s="11"/>
      <c r="Z77" s="11"/>
    </row>
    <row r="78" ht="12.75" customHeight="1">
      <c r="A78" s="11"/>
      <c r="B78" s="112"/>
      <c r="C78" s="113"/>
      <c r="D78" s="113"/>
      <c r="E78" s="113"/>
      <c r="F78" s="113"/>
      <c r="G78" s="11"/>
      <c r="H78" s="11"/>
      <c r="I78" s="11"/>
      <c r="J78" s="11"/>
      <c r="K78" s="11"/>
      <c r="L78" s="11"/>
      <c r="M78" s="11"/>
      <c r="N78" s="11"/>
      <c r="O78" s="11"/>
      <c r="P78" s="11"/>
      <c r="Q78" s="11"/>
      <c r="R78" s="11"/>
      <c r="S78" s="11"/>
      <c r="T78" s="11"/>
      <c r="U78" s="11"/>
      <c r="V78" s="11"/>
      <c r="W78" s="11"/>
      <c r="X78" s="11"/>
      <c r="Y78" s="11"/>
      <c r="Z78" s="11"/>
    </row>
    <row r="79" ht="12.75" customHeight="1">
      <c r="A79" s="11"/>
      <c r="B79" s="112"/>
      <c r="C79" s="113"/>
      <c r="D79" s="113"/>
      <c r="E79" s="113"/>
      <c r="F79" s="113"/>
      <c r="G79" s="11"/>
      <c r="H79" s="11"/>
      <c r="I79" s="11"/>
      <c r="J79" s="11"/>
      <c r="K79" s="11"/>
      <c r="L79" s="11"/>
      <c r="M79" s="11"/>
      <c r="N79" s="11"/>
      <c r="O79" s="11"/>
      <c r="P79" s="11"/>
      <c r="Q79" s="11"/>
      <c r="R79" s="11"/>
      <c r="S79" s="11"/>
      <c r="T79" s="11"/>
      <c r="U79" s="11"/>
      <c r="V79" s="11"/>
      <c r="W79" s="11"/>
      <c r="X79" s="11"/>
      <c r="Y79" s="11"/>
      <c r="Z79" s="11"/>
    </row>
    <row r="80" ht="12.75" customHeight="1">
      <c r="A80" s="11"/>
      <c r="B80" s="112"/>
      <c r="C80" s="113"/>
      <c r="D80" s="113"/>
      <c r="E80" s="113"/>
      <c r="F80" s="113"/>
      <c r="G80" s="11"/>
      <c r="H80" s="11"/>
      <c r="I80" s="11"/>
      <c r="J80" s="11"/>
      <c r="K80" s="11"/>
      <c r="L80" s="11"/>
      <c r="M80" s="11"/>
      <c r="N80" s="11"/>
      <c r="O80" s="11"/>
      <c r="P80" s="11"/>
      <c r="Q80" s="11"/>
      <c r="R80" s="11"/>
      <c r="S80" s="11"/>
      <c r="T80" s="11"/>
      <c r="U80" s="11"/>
      <c r="V80" s="11"/>
      <c r="W80" s="11"/>
      <c r="X80" s="11"/>
      <c r="Y80" s="11"/>
      <c r="Z80" s="11"/>
    </row>
    <row r="81" ht="12.75" customHeight="1">
      <c r="A81" s="11"/>
      <c r="B81" s="112"/>
      <c r="C81" s="113"/>
      <c r="D81" s="113"/>
      <c r="E81" s="113"/>
      <c r="F81" s="113"/>
      <c r="G81" s="11"/>
      <c r="H81" s="11"/>
      <c r="I81" s="11"/>
      <c r="J81" s="11"/>
      <c r="K81" s="11"/>
      <c r="L81" s="11"/>
      <c r="M81" s="11"/>
      <c r="N81" s="11"/>
      <c r="O81" s="11"/>
      <c r="P81" s="11"/>
      <c r="Q81" s="11"/>
      <c r="R81" s="11"/>
      <c r="S81" s="11"/>
      <c r="T81" s="11"/>
      <c r="U81" s="11"/>
      <c r="V81" s="11"/>
      <c r="W81" s="11"/>
      <c r="X81" s="11"/>
      <c r="Y81" s="11"/>
      <c r="Z81" s="11"/>
    </row>
    <row r="82" ht="12.75" customHeight="1">
      <c r="A82" s="11"/>
      <c r="B82" s="112"/>
      <c r="C82" s="113"/>
      <c r="D82" s="113"/>
      <c r="E82" s="113"/>
      <c r="F82" s="113"/>
      <c r="G82" s="11"/>
      <c r="H82" s="11"/>
      <c r="I82" s="11"/>
      <c r="J82" s="11"/>
      <c r="K82" s="11"/>
      <c r="L82" s="11"/>
      <c r="M82" s="11"/>
      <c r="N82" s="11"/>
      <c r="O82" s="11"/>
      <c r="P82" s="11"/>
      <c r="Q82" s="11"/>
      <c r="R82" s="11"/>
      <c r="S82" s="11"/>
      <c r="T82" s="11"/>
      <c r="U82" s="11"/>
      <c r="V82" s="11"/>
      <c r="W82" s="11"/>
      <c r="X82" s="11"/>
      <c r="Y82" s="11"/>
      <c r="Z82" s="11"/>
    </row>
    <row r="83" ht="12.75" customHeight="1">
      <c r="A83" s="11"/>
      <c r="B83" s="112"/>
      <c r="C83" s="113"/>
      <c r="D83" s="113"/>
      <c r="E83" s="113"/>
      <c r="F83" s="113"/>
      <c r="G83" s="11"/>
      <c r="H83" s="11"/>
      <c r="I83" s="11"/>
      <c r="J83" s="11"/>
      <c r="K83" s="11"/>
      <c r="L83" s="11"/>
      <c r="M83" s="11"/>
      <c r="N83" s="11"/>
      <c r="O83" s="11"/>
      <c r="P83" s="11"/>
      <c r="Q83" s="11"/>
      <c r="R83" s="11"/>
      <c r="S83" s="11"/>
      <c r="T83" s="11"/>
      <c r="U83" s="11"/>
      <c r="V83" s="11"/>
      <c r="W83" s="11"/>
      <c r="X83" s="11"/>
      <c r="Y83" s="11"/>
      <c r="Z83" s="11"/>
    </row>
    <row r="84" ht="12.75" customHeight="1">
      <c r="A84" s="11"/>
      <c r="B84" s="112"/>
      <c r="C84" s="113"/>
      <c r="D84" s="113"/>
      <c r="E84" s="113"/>
      <c r="F84" s="113"/>
      <c r="G84" s="11"/>
      <c r="H84" s="11"/>
      <c r="I84" s="11"/>
      <c r="J84" s="11"/>
      <c r="K84" s="11"/>
      <c r="L84" s="11"/>
      <c r="M84" s="11"/>
      <c r="N84" s="11"/>
      <c r="O84" s="11"/>
      <c r="P84" s="11"/>
      <c r="Q84" s="11"/>
      <c r="R84" s="11"/>
      <c r="S84" s="11"/>
      <c r="T84" s="11"/>
      <c r="U84" s="11"/>
      <c r="V84" s="11"/>
      <c r="W84" s="11"/>
      <c r="X84" s="11"/>
      <c r="Y84" s="11"/>
      <c r="Z84" s="11"/>
    </row>
    <row r="85" ht="12.75" customHeight="1">
      <c r="A85" s="11"/>
      <c r="B85" s="112"/>
      <c r="C85" s="113"/>
      <c r="D85" s="113"/>
      <c r="E85" s="113"/>
      <c r="F85" s="113"/>
      <c r="G85" s="11"/>
      <c r="H85" s="11"/>
      <c r="I85" s="11"/>
      <c r="J85" s="11"/>
      <c r="K85" s="11"/>
      <c r="L85" s="11"/>
      <c r="M85" s="11"/>
      <c r="N85" s="11"/>
      <c r="O85" s="11"/>
      <c r="P85" s="11"/>
      <c r="Q85" s="11"/>
      <c r="R85" s="11"/>
      <c r="S85" s="11"/>
      <c r="T85" s="11"/>
      <c r="U85" s="11"/>
      <c r="V85" s="11"/>
      <c r="W85" s="11"/>
      <c r="X85" s="11"/>
      <c r="Y85" s="11"/>
      <c r="Z85" s="11"/>
    </row>
    <row r="86" ht="12.75" customHeight="1">
      <c r="A86" s="11"/>
      <c r="B86" s="112"/>
      <c r="C86" s="113"/>
      <c r="D86" s="113"/>
      <c r="E86" s="113"/>
      <c r="F86" s="113"/>
      <c r="G86" s="11"/>
      <c r="H86" s="11"/>
      <c r="I86" s="11"/>
      <c r="J86" s="11"/>
      <c r="K86" s="11"/>
      <c r="L86" s="11"/>
      <c r="M86" s="11"/>
      <c r="N86" s="11"/>
      <c r="O86" s="11"/>
      <c r="P86" s="11"/>
      <c r="Q86" s="11"/>
      <c r="R86" s="11"/>
      <c r="S86" s="11"/>
      <c r="T86" s="11"/>
      <c r="U86" s="11"/>
      <c r="V86" s="11"/>
      <c r="W86" s="11"/>
      <c r="X86" s="11"/>
      <c r="Y86" s="11"/>
      <c r="Z86" s="11"/>
    </row>
    <row r="87" ht="12.75" customHeight="1">
      <c r="A87" s="11"/>
      <c r="B87" s="112"/>
      <c r="C87" s="113"/>
      <c r="D87" s="113"/>
      <c r="E87" s="113"/>
      <c r="F87" s="113"/>
      <c r="G87" s="11"/>
      <c r="H87" s="11"/>
      <c r="I87" s="11"/>
      <c r="J87" s="11"/>
      <c r="K87" s="11"/>
      <c r="L87" s="11"/>
      <c r="M87" s="11"/>
      <c r="N87" s="11"/>
      <c r="O87" s="11"/>
      <c r="P87" s="11"/>
      <c r="Q87" s="11"/>
      <c r="R87" s="11"/>
      <c r="S87" s="11"/>
      <c r="T87" s="11"/>
      <c r="U87" s="11"/>
      <c r="V87" s="11"/>
      <c r="W87" s="11"/>
      <c r="X87" s="11"/>
      <c r="Y87" s="11"/>
      <c r="Z87" s="11"/>
    </row>
    <row r="88" ht="12.75" customHeight="1">
      <c r="A88" s="11"/>
      <c r="B88" s="112"/>
      <c r="C88" s="113"/>
      <c r="D88" s="113"/>
      <c r="E88" s="113"/>
      <c r="F88" s="113"/>
      <c r="G88" s="11"/>
      <c r="H88" s="11"/>
      <c r="I88" s="11"/>
      <c r="J88" s="11"/>
      <c r="K88" s="11"/>
      <c r="L88" s="11"/>
      <c r="M88" s="11"/>
      <c r="N88" s="11"/>
      <c r="O88" s="11"/>
      <c r="P88" s="11"/>
      <c r="Q88" s="11"/>
      <c r="R88" s="11"/>
      <c r="S88" s="11"/>
      <c r="T88" s="11"/>
      <c r="U88" s="11"/>
      <c r="V88" s="11"/>
      <c r="W88" s="11"/>
      <c r="X88" s="11"/>
      <c r="Y88" s="11"/>
      <c r="Z88" s="11"/>
    </row>
    <row r="89" ht="12.75" customHeight="1">
      <c r="A89" s="11"/>
      <c r="B89" s="112"/>
      <c r="C89" s="113"/>
      <c r="D89" s="113"/>
      <c r="E89" s="113"/>
      <c r="F89" s="113"/>
      <c r="G89" s="11"/>
      <c r="H89" s="11"/>
      <c r="I89" s="11"/>
      <c r="J89" s="11"/>
      <c r="K89" s="11"/>
      <c r="L89" s="11"/>
      <c r="M89" s="11"/>
      <c r="N89" s="11"/>
      <c r="O89" s="11"/>
      <c r="P89" s="11"/>
      <c r="Q89" s="11"/>
      <c r="R89" s="11"/>
      <c r="S89" s="11"/>
      <c r="T89" s="11"/>
      <c r="U89" s="11"/>
      <c r="V89" s="11"/>
      <c r="W89" s="11"/>
      <c r="X89" s="11"/>
      <c r="Y89" s="11"/>
      <c r="Z89" s="11"/>
    </row>
    <row r="90" ht="12.75" customHeight="1">
      <c r="A90" s="11"/>
      <c r="B90" s="112"/>
      <c r="C90" s="113"/>
      <c r="D90" s="113"/>
      <c r="E90" s="113"/>
      <c r="F90" s="113"/>
      <c r="G90" s="11"/>
      <c r="H90" s="11"/>
      <c r="I90" s="11"/>
      <c r="J90" s="11"/>
      <c r="K90" s="11"/>
      <c r="L90" s="11"/>
      <c r="M90" s="11"/>
      <c r="N90" s="11"/>
      <c r="O90" s="11"/>
      <c r="P90" s="11"/>
      <c r="Q90" s="11"/>
      <c r="R90" s="11"/>
      <c r="S90" s="11"/>
      <c r="T90" s="11"/>
      <c r="U90" s="11"/>
      <c r="V90" s="11"/>
      <c r="W90" s="11"/>
      <c r="X90" s="11"/>
      <c r="Y90" s="11"/>
      <c r="Z90" s="11"/>
    </row>
    <row r="91" ht="12.75" customHeight="1">
      <c r="A91" s="11"/>
      <c r="B91" s="112"/>
      <c r="C91" s="113"/>
      <c r="D91" s="113"/>
      <c r="E91" s="113"/>
      <c r="F91" s="113"/>
      <c r="G91" s="11"/>
      <c r="H91" s="11"/>
      <c r="I91" s="11"/>
      <c r="J91" s="11"/>
      <c r="K91" s="11"/>
      <c r="L91" s="11"/>
      <c r="M91" s="11"/>
      <c r="N91" s="11"/>
      <c r="O91" s="11"/>
      <c r="P91" s="11"/>
      <c r="Q91" s="11"/>
      <c r="R91" s="11"/>
      <c r="S91" s="11"/>
      <c r="T91" s="11"/>
      <c r="U91" s="11"/>
      <c r="V91" s="11"/>
      <c r="W91" s="11"/>
      <c r="X91" s="11"/>
      <c r="Y91" s="11"/>
      <c r="Z91" s="11"/>
    </row>
    <row r="92" ht="12.75" customHeight="1">
      <c r="A92" s="11"/>
      <c r="B92" s="112"/>
      <c r="C92" s="113"/>
      <c r="D92" s="113"/>
      <c r="E92" s="113"/>
      <c r="F92" s="113"/>
      <c r="G92" s="11"/>
      <c r="H92" s="11"/>
      <c r="I92" s="11"/>
      <c r="J92" s="11"/>
      <c r="K92" s="11"/>
      <c r="L92" s="11"/>
      <c r="M92" s="11"/>
      <c r="N92" s="11"/>
      <c r="O92" s="11"/>
      <c r="P92" s="11"/>
      <c r="Q92" s="11"/>
      <c r="R92" s="11"/>
      <c r="S92" s="11"/>
      <c r="T92" s="11"/>
      <c r="U92" s="11"/>
      <c r="V92" s="11"/>
      <c r="W92" s="11"/>
      <c r="X92" s="11"/>
      <c r="Y92" s="11"/>
      <c r="Z92" s="11"/>
    </row>
    <row r="93" ht="12.75" customHeight="1">
      <c r="A93" s="11"/>
      <c r="B93" s="112"/>
      <c r="C93" s="113"/>
      <c r="D93" s="113"/>
      <c r="E93" s="113"/>
      <c r="F93" s="113"/>
      <c r="G93" s="11"/>
      <c r="H93" s="11"/>
      <c r="I93" s="11"/>
      <c r="J93" s="11"/>
      <c r="K93" s="11"/>
      <c r="L93" s="11"/>
      <c r="M93" s="11"/>
      <c r="N93" s="11"/>
      <c r="O93" s="11"/>
      <c r="P93" s="11"/>
      <c r="Q93" s="11"/>
      <c r="R93" s="11"/>
      <c r="S93" s="11"/>
      <c r="T93" s="11"/>
      <c r="U93" s="11"/>
      <c r="V93" s="11"/>
      <c r="W93" s="11"/>
      <c r="X93" s="11"/>
      <c r="Y93" s="11"/>
      <c r="Z93" s="11"/>
    </row>
    <row r="94" ht="12.75" customHeight="1">
      <c r="A94" s="11"/>
      <c r="B94" s="112"/>
      <c r="C94" s="113"/>
      <c r="D94" s="113"/>
      <c r="E94" s="113"/>
      <c r="F94" s="113"/>
      <c r="G94" s="11"/>
      <c r="H94" s="11"/>
      <c r="I94" s="11"/>
      <c r="J94" s="11"/>
      <c r="K94" s="11"/>
      <c r="L94" s="11"/>
      <c r="M94" s="11"/>
      <c r="N94" s="11"/>
      <c r="O94" s="11"/>
      <c r="P94" s="11"/>
      <c r="Q94" s="11"/>
      <c r="R94" s="11"/>
      <c r="S94" s="11"/>
      <c r="T94" s="11"/>
      <c r="U94" s="11"/>
      <c r="V94" s="11"/>
      <c r="W94" s="11"/>
      <c r="X94" s="11"/>
      <c r="Y94" s="11"/>
      <c r="Z94" s="11"/>
    </row>
    <row r="95" ht="12.75" customHeight="1">
      <c r="A95" s="11"/>
      <c r="B95" s="112"/>
      <c r="C95" s="113"/>
      <c r="D95" s="113"/>
      <c r="E95" s="113"/>
      <c r="F95" s="113"/>
      <c r="G95" s="11"/>
      <c r="H95" s="11"/>
      <c r="I95" s="11"/>
      <c r="J95" s="11"/>
      <c r="K95" s="11"/>
      <c r="L95" s="11"/>
      <c r="M95" s="11"/>
      <c r="N95" s="11"/>
      <c r="O95" s="11"/>
      <c r="P95" s="11"/>
      <c r="Q95" s="11"/>
      <c r="R95" s="11"/>
      <c r="S95" s="11"/>
      <c r="T95" s="11"/>
      <c r="U95" s="11"/>
      <c r="V95" s="11"/>
      <c r="W95" s="11"/>
      <c r="X95" s="11"/>
      <c r="Y95" s="11"/>
      <c r="Z95" s="11"/>
    </row>
    <row r="96" ht="12.75" customHeight="1">
      <c r="A96" s="11"/>
      <c r="B96" s="112"/>
      <c r="C96" s="113"/>
      <c r="D96" s="113"/>
      <c r="E96" s="113"/>
      <c r="F96" s="113"/>
      <c r="G96" s="11"/>
      <c r="H96" s="11"/>
      <c r="I96" s="11"/>
      <c r="J96" s="11"/>
      <c r="K96" s="11"/>
      <c r="L96" s="11"/>
      <c r="M96" s="11"/>
      <c r="N96" s="11"/>
      <c r="O96" s="11"/>
      <c r="P96" s="11"/>
      <c r="Q96" s="11"/>
      <c r="R96" s="11"/>
      <c r="S96" s="11"/>
      <c r="T96" s="11"/>
      <c r="U96" s="11"/>
      <c r="V96" s="11"/>
      <c r="W96" s="11"/>
      <c r="X96" s="11"/>
      <c r="Y96" s="11"/>
      <c r="Z96" s="11"/>
    </row>
    <row r="97" ht="12.75" customHeight="1">
      <c r="A97" s="11"/>
      <c r="B97" s="112"/>
      <c r="C97" s="113"/>
      <c r="D97" s="113"/>
      <c r="E97" s="113"/>
      <c r="F97" s="113"/>
      <c r="G97" s="11"/>
      <c r="H97" s="11"/>
      <c r="I97" s="11"/>
      <c r="J97" s="11"/>
      <c r="K97" s="11"/>
      <c r="L97" s="11"/>
      <c r="M97" s="11"/>
      <c r="N97" s="11"/>
      <c r="O97" s="11"/>
      <c r="P97" s="11"/>
      <c r="Q97" s="11"/>
      <c r="R97" s="11"/>
      <c r="S97" s="11"/>
      <c r="T97" s="11"/>
      <c r="U97" s="11"/>
      <c r="V97" s="11"/>
      <c r="W97" s="11"/>
      <c r="X97" s="11"/>
      <c r="Y97" s="11"/>
      <c r="Z97" s="11"/>
    </row>
    <row r="98" ht="12.75" customHeight="1">
      <c r="A98" s="11"/>
      <c r="B98" s="112"/>
      <c r="C98" s="113"/>
      <c r="D98" s="113"/>
      <c r="E98" s="113"/>
      <c r="F98" s="113"/>
      <c r="G98" s="11"/>
      <c r="H98" s="11"/>
      <c r="I98" s="11"/>
      <c r="J98" s="11"/>
      <c r="K98" s="11"/>
      <c r="L98" s="11"/>
      <c r="M98" s="11"/>
      <c r="N98" s="11"/>
      <c r="O98" s="11"/>
      <c r="P98" s="11"/>
      <c r="Q98" s="11"/>
      <c r="R98" s="11"/>
      <c r="S98" s="11"/>
      <c r="T98" s="11"/>
      <c r="U98" s="11"/>
      <c r="V98" s="11"/>
      <c r="W98" s="11"/>
      <c r="X98" s="11"/>
      <c r="Y98" s="11"/>
      <c r="Z98" s="11"/>
    </row>
    <row r="99" ht="12.75" customHeight="1">
      <c r="A99" s="11"/>
      <c r="B99" s="112"/>
      <c r="C99" s="113"/>
      <c r="D99" s="113"/>
      <c r="E99" s="113"/>
      <c r="F99" s="113"/>
      <c r="G99" s="11"/>
      <c r="H99" s="11"/>
      <c r="I99" s="11"/>
      <c r="J99" s="11"/>
      <c r="K99" s="11"/>
      <c r="L99" s="11"/>
      <c r="M99" s="11"/>
      <c r="N99" s="11"/>
      <c r="O99" s="11"/>
      <c r="P99" s="11"/>
      <c r="Q99" s="11"/>
      <c r="R99" s="11"/>
      <c r="S99" s="11"/>
      <c r="T99" s="11"/>
      <c r="U99" s="11"/>
      <c r="V99" s="11"/>
      <c r="W99" s="11"/>
      <c r="X99" s="11"/>
      <c r="Y99" s="11"/>
      <c r="Z99" s="11"/>
    </row>
    <row r="100" ht="12.75" customHeight="1">
      <c r="A100" s="11"/>
      <c r="B100" s="112"/>
      <c r="C100" s="113"/>
      <c r="D100" s="113"/>
      <c r="E100" s="113"/>
      <c r="F100" s="113"/>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2"/>
      <c r="C101" s="113"/>
      <c r="D101" s="113"/>
      <c r="E101" s="113"/>
      <c r="F101" s="113"/>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2"/>
      <c r="C102" s="113"/>
      <c r="D102" s="113"/>
      <c r="E102" s="113"/>
      <c r="F102" s="113"/>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2"/>
      <c r="C103" s="113"/>
      <c r="D103" s="113"/>
      <c r="E103" s="113"/>
      <c r="F103" s="113"/>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2"/>
      <c r="C104" s="113"/>
      <c r="D104" s="113"/>
      <c r="E104" s="113"/>
      <c r="F104" s="113"/>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2"/>
      <c r="C105" s="113"/>
      <c r="D105" s="113"/>
      <c r="E105" s="113"/>
      <c r="F105" s="113"/>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2"/>
      <c r="C106" s="113"/>
      <c r="D106" s="113"/>
      <c r="E106" s="113"/>
      <c r="F106" s="113"/>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2"/>
      <c r="C107" s="113"/>
      <c r="D107" s="113"/>
      <c r="E107" s="113"/>
      <c r="F107" s="113"/>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2"/>
      <c r="C108" s="113"/>
      <c r="D108" s="113"/>
      <c r="E108" s="113"/>
      <c r="F108" s="113"/>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2"/>
      <c r="C109" s="113"/>
      <c r="D109" s="113"/>
      <c r="E109" s="113"/>
      <c r="F109" s="113"/>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2"/>
      <c r="C110" s="113"/>
      <c r="D110" s="113"/>
      <c r="E110" s="113"/>
      <c r="F110" s="113"/>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2"/>
      <c r="C111" s="113"/>
      <c r="D111" s="113"/>
      <c r="E111" s="113"/>
      <c r="F111" s="113"/>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2"/>
      <c r="C112" s="113"/>
      <c r="D112" s="113"/>
      <c r="E112" s="113"/>
      <c r="F112" s="113"/>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2"/>
      <c r="C113" s="113"/>
      <c r="D113" s="113"/>
      <c r="E113" s="113"/>
      <c r="F113" s="113"/>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2"/>
      <c r="C114" s="113"/>
      <c r="D114" s="113"/>
      <c r="E114" s="113"/>
      <c r="F114" s="113"/>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2"/>
      <c r="C115" s="113"/>
      <c r="D115" s="113"/>
      <c r="E115" s="113"/>
      <c r="F115" s="113"/>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2"/>
      <c r="C116" s="113"/>
      <c r="D116" s="113"/>
      <c r="E116" s="113"/>
      <c r="F116" s="113"/>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2"/>
      <c r="C117" s="113"/>
      <c r="D117" s="113"/>
      <c r="E117" s="113"/>
      <c r="F117" s="113"/>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2"/>
      <c r="C118" s="113"/>
      <c r="D118" s="113"/>
      <c r="E118" s="113"/>
      <c r="F118" s="113"/>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2"/>
      <c r="C119" s="113"/>
      <c r="D119" s="113"/>
      <c r="E119" s="113"/>
      <c r="F119" s="113"/>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2"/>
      <c r="C120" s="113"/>
      <c r="D120" s="113"/>
      <c r="E120" s="113"/>
      <c r="F120" s="113"/>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2"/>
      <c r="C121" s="113"/>
      <c r="D121" s="113"/>
      <c r="E121" s="113"/>
      <c r="F121" s="113"/>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2"/>
      <c r="C122" s="113"/>
      <c r="D122" s="113"/>
      <c r="E122" s="113"/>
      <c r="F122" s="113"/>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2"/>
      <c r="C123" s="113"/>
      <c r="D123" s="113"/>
      <c r="E123" s="113"/>
      <c r="F123" s="113"/>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2"/>
      <c r="C124" s="113"/>
      <c r="D124" s="113"/>
      <c r="E124" s="113"/>
      <c r="F124" s="113"/>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2"/>
      <c r="C125" s="113"/>
      <c r="D125" s="113"/>
      <c r="E125" s="113"/>
      <c r="F125" s="113"/>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2"/>
      <c r="C126" s="113"/>
      <c r="D126" s="113"/>
      <c r="E126" s="113"/>
      <c r="F126" s="113"/>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2"/>
      <c r="C127" s="113"/>
      <c r="D127" s="113"/>
      <c r="E127" s="113"/>
      <c r="F127" s="113"/>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2"/>
      <c r="C128" s="113"/>
      <c r="D128" s="113"/>
      <c r="E128" s="113"/>
      <c r="F128" s="113"/>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2"/>
      <c r="C129" s="113"/>
      <c r="D129" s="113"/>
      <c r="E129" s="113"/>
      <c r="F129" s="113"/>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2"/>
      <c r="C130" s="113"/>
      <c r="D130" s="113"/>
      <c r="E130" s="113"/>
      <c r="F130" s="113"/>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2"/>
      <c r="C131" s="113"/>
      <c r="D131" s="113"/>
      <c r="E131" s="113"/>
      <c r="F131" s="113"/>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2"/>
      <c r="C132" s="113"/>
      <c r="D132" s="113"/>
      <c r="E132" s="113"/>
      <c r="F132" s="113"/>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2"/>
      <c r="C133" s="113"/>
      <c r="D133" s="113"/>
      <c r="E133" s="113"/>
      <c r="F133" s="113"/>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2"/>
      <c r="C134" s="113"/>
      <c r="D134" s="113"/>
      <c r="E134" s="113"/>
      <c r="F134" s="113"/>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2"/>
      <c r="C135" s="113"/>
      <c r="D135" s="113"/>
      <c r="E135" s="113"/>
      <c r="F135" s="113"/>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2"/>
      <c r="C136" s="113"/>
      <c r="D136" s="113"/>
      <c r="E136" s="113"/>
      <c r="F136" s="113"/>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2"/>
      <c r="C137" s="113"/>
      <c r="D137" s="113"/>
      <c r="E137" s="113"/>
      <c r="F137" s="113"/>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2"/>
      <c r="C138" s="113"/>
      <c r="D138" s="113"/>
      <c r="E138" s="113"/>
      <c r="F138" s="113"/>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2"/>
      <c r="C139" s="113"/>
      <c r="D139" s="113"/>
      <c r="E139" s="113"/>
      <c r="F139" s="113"/>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2"/>
      <c r="C140" s="113"/>
      <c r="D140" s="113"/>
      <c r="E140" s="113"/>
      <c r="F140" s="113"/>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2"/>
      <c r="C141" s="113"/>
      <c r="D141" s="113"/>
      <c r="E141" s="113"/>
      <c r="F141" s="113"/>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2"/>
      <c r="C142" s="113"/>
      <c r="D142" s="113"/>
      <c r="E142" s="113"/>
      <c r="F142" s="113"/>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2"/>
      <c r="C143" s="113"/>
      <c r="D143" s="113"/>
      <c r="E143" s="113"/>
      <c r="F143" s="113"/>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2"/>
      <c r="C144" s="113"/>
      <c r="D144" s="113"/>
      <c r="E144" s="113"/>
      <c r="F144" s="113"/>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2"/>
      <c r="C145" s="113"/>
      <c r="D145" s="113"/>
      <c r="E145" s="113"/>
      <c r="F145" s="113"/>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2"/>
      <c r="C146" s="113"/>
      <c r="D146" s="113"/>
      <c r="E146" s="113"/>
      <c r="F146" s="113"/>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2"/>
      <c r="C147" s="113"/>
      <c r="D147" s="113"/>
      <c r="E147" s="113"/>
      <c r="F147" s="113"/>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2"/>
      <c r="C148" s="113"/>
      <c r="D148" s="113"/>
      <c r="E148" s="113"/>
      <c r="F148" s="113"/>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2"/>
      <c r="C149" s="113"/>
      <c r="D149" s="113"/>
      <c r="E149" s="113"/>
      <c r="F149" s="113"/>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2"/>
      <c r="C150" s="113"/>
      <c r="D150" s="113"/>
      <c r="E150" s="113"/>
      <c r="F150" s="113"/>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2"/>
      <c r="C151" s="113"/>
      <c r="D151" s="113"/>
      <c r="E151" s="113"/>
      <c r="F151" s="113"/>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2"/>
      <c r="C152" s="113"/>
      <c r="D152" s="113"/>
      <c r="E152" s="113"/>
      <c r="F152" s="113"/>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2"/>
      <c r="C153" s="113"/>
      <c r="D153" s="113"/>
      <c r="E153" s="113"/>
      <c r="F153" s="113"/>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2"/>
      <c r="C154" s="113"/>
      <c r="D154" s="113"/>
      <c r="E154" s="113"/>
      <c r="F154" s="113"/>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2"/>
      <c r="C155" s="113"/>
      <c r="D155" s="113"/>
      <c r="E155" s="113"/>
      <c r="F155" s="113"/>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2"/>
      <c r="C156" s="113"/>
      <c r="D156" s="113"/>
      <c r="E156" s="113"/>
      <c r="F156" s="113"/>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2"/>
      <c r="C157" s="113"/>
      <c r="D157" s="113"/>
      <c r="E157" s="113"/>
      <c r="F157" s="113"/>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2"/>
      <c r="C158" s="113"/>
      <c r="D158" s="113"/>
      <c r="E158" s="113"/>
      <c r="F158" s="113"/>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2"/>
      <c r="C159" s="113"/>
      <c r="D159" s="113"/>
      <c r="E159" s="113"/>
      <c r="F159" s="113"/>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2"/>
      <c r="C160" s="113"/>
      <c r="D160" s="113"/>
      <c r="E160" s="113"/>
      <c r="F160" s="113"/>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2"/>
      <c r="C161" s="113"/>
      <c r="D161" s="113"/>
      <c r="E161" s="113"/>
      <c r="F161" s="113"/>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2"/>
      <c r="C162" s="113"/>
      <c r="D162" s="113"/>
      <c r="E162" s="113"/>
      <c r="F162" s="113"/>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2"/>
      <c r="C163" s="113"/>
      <c r="D163" s="113"/>
      <c r="E163" s="113"/>
      <c r="F163" s="113"/>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2"/>
      <c r="C164" s="113"/>
      <c r="D164" s="113"/>
      <c r="E164" s="113"/>
      <c r="F164" s="113"/>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2"/>
      <c r="C165" s="113"/>
      <c r="D165" s="113"/>
      <c r="E165" s="113"/>
      <c r="F165" s="113"/>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2"/>
      <c r="C166" s="113"/>
      <c r="D166" s="113"/>
      <c r="E166" s="113"/>
      <c r="F166" s="113"/>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2"/>
      <c r="C167" s="113"/>
      <c r="D167" s="113"/>
      <c r="E167" s="113"/>
      <c r="F167" s="113"/>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2"/>
      <c r="C168" s="113"/>
      <c r="D168" s="113"/>
      <c r="E168" s="113"/>
      <c r="F168" s="113"/>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2"/>
      <c r="C169" s="113"/>
      <c r="D169" s="113"/>
      <c r="E169" s="113"/>
      <c r="F169" s="113"/>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2"/>
      <c r="C170" s="113"/>
      <c r="D170" s="113"/>
      <c r="E170" s="113"/>
      <c r="F170" s="113"/>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2"/>
      <c r="C171" s="113"/>
      <c r="D171" s="113"/>
      <c r="E171" s="113"/>
      <c r="F171" s="113"/>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2"/>
      <c r="C172" s="113"/>
      <c r="D172" s="113"/>
      <c r="E172" s="113"/>
      <c r="F172" s="113"/>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2"/>
      <c r="C173" s="113"/>
      <c r="D173" s="113"/>
      <c r="E173" s="113"/>
      <c r="F173" s="113"/>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2"/>
      <c r="C174" s="113"/>
      <c r="D174" s="113"/>
      <c r="E174" s="113"/>
      <c r="F174" s="113"/>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2"/>
      <c r="C175" s="113"/>
      <c r="D175" s="113"/>
      <c r="E175" s="113"/>
      <c r="F175" s="113"/>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2"/>
      <c r="C176" s="113"/>
      <c r="D176" s="113"/>
      <c r="E176" s="113"/>
      <c r="F176" s="113"/>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2"/>
      <c r="C177" s="113"/>
      <c r="D177" s="113"/>
      <c r="E177" s="113"/>
      <c r="F177" s="113"/>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2"/>
      <c r="C178" s="113"/>
      <c r="D178" s="113"/>
      <c r="E178" s="113"/>
      <c r="F178" s="113"/>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2"/>
      <c r="C179" s="113"/>
      <c r="D179" s="113"/>
      <c r="E179" s="113"/>
      <c r="F179" s="113"/>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2"/>
      <c r="C180" s="113"/>
      <c r="D180" s="113"/>
      <c r="E180" s="113"/>
      <c r="F180" s="113"/>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2"/>
      <c r="C181" s="113"/>
      <c r="D181" s="113"/>
      <c r="E181" s="113"/>
      <c r="F181" s="113"/>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2"/>
      <c r="C182" s="113"/>
      <c r="D182" s="113"/>
      <c r="E182" s="113"/>
      <c r="F182" s="113"/>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2"/>
      <c r="C183" s="113"/>
      <c r="D183" s="113"/>
      <c r="E183" s="113"/>
      <c r="F183" s="113"/>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2"/>
      <c r="C184" s="113"/>
      <c r="D184" s="113"/>
      <c r="E184" s="113"/>
      <c r="F184" s="113"/>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2"/>
      <c r="C185" s="113"/>
      <c r="D185" s="113"/>
      <c r="E185" s="113"/>
      <c r="F185" s="113"/>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2"/>
      <c r="C186" s="113"/>
      <c r="D186" s="113"/>
      <c r="E186" s="113"/>
      <c r="F186" s="113"/>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2"/>
      <c r="C187" s="113"/>
      <c r="D187" s="113"/>
      <c r="E187" s="113"/>
      <c r="F187" s="113"/>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2"/>
      <c r="C188" s="113"/>
      <c r="D188" s="113"/>
      <c r="E188" s="113"/>
      <c r="F188" s="113"/>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2"/>
      <c r="C189" s="113"/>
      <c r="D189" s="113"/>
      <c r="E189" s="113"/>
      <c r="F189" s="113"/>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2"/>
      <c r="C190" s="113"/>
      <c r="D190" s="113"/>
      <c r="E190" s="113"/>
      <c r="F190" s="113"/>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2"/>
      <c r="C191" s="113"/>
      <c r="D191" s="113"/>
      <c r="E191" s="113"/>
      <c r="F191" s="113"/>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2"/>
      <c r="C192" s="113"/>
      <c r="D192" s="113"/>
      <c r="E192" s="113"/>
      <c r="F192" s="113"/>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2"/>
      <c r="C193" s="113"/>
      <c r="D193" s="113"/>
      <c r="E193" s="113"/>
      <c r="F193" s="113"/>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2"/>
      <c r="C194" s="113"/>
      <c r="D194" s="113"/>
      <c r="E194" s="113"/>
      <c r="F194" s="113"/>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2"/>
      <c r="C195" s="113"/>
      <c r="D195" s="113"/>
      <c r="E195" s="113"/>
      <c r="F195" s="113"/>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2"/>
      <c r="C196" s="113"/>
      <c r="D196" s="113"/>
      <c r="E196" s="113"/>
      <c r="F196" s="113"/>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2"/>
      <c r="C197" s="113"/>
      <c r="D197" s="113"/>
      <c r="E197" s="113"/>
      <c r="F197" s="113"/>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2"/>
      <c r="C198" s="113"/>
      <c r="D198" s="113"/>
      <c r="E198" s="113"/>
      <c r="F198" s="113"/>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2"/>
      <c r="C199" s="113"/>
      <c r="D199" s="113"/>
      <c r="E199" s="113"/>
      <c r="F199" s="113"/>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2"/>
      <c r="C200" s="113"/>
      <c r="D200" s="113"/>
      <c r="E200" s="113"/>
      <c r="F200" s="113"/>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2"/>
      <c r="C201" s="113"/>
      <c r="D201" s="113"/>
      <c r="E201" s="113"/>
      <c r="F201" s="113"/>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2"/>
      <c r="C202" s="113"/>
      <c r="D202" s="113"/>
      <c r="E202" s="113"/>
      <c r="F202" s="113"/>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2"/>
      <c r="C203" s="113"/>
      <c r="D203" s="113"/>
      <c r="E203" s="113"/>
      <c r="F203" s="113"/>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2"/>
      <c r="C204" s="113"/>
      <c r="D204" s="113"/>
      <c r="E204" s="113"/>
      <c r="F204" s="113"/>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2"/>
      <c r="C205" s="113"/>
      <c r="D205" s="113"/>
      <c r="E205" s="113"/>
      <c r="F205" s="113"/>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2"/>
      <c r="C206" s="113"/>
      <c r="D206" s="113"/>
      <c r="E206" s="113"/>
      <c r="F206" s="113"/>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2"/>
      <c r="C207" s="113"/>
      <c r="D207" s="113"/>
      <c r="E207" s="113"/>
      <c r="F207" s="113"/>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2"/>
      <c r="C208" s="113"/>
      <c r="D208" s="113"/>
      <c r="E208" s="113"/>
      <c r="F208" s="113"/>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2"/>
      <c r="C209" s="113"/>
      <c r="D209" s="113"/>
      <c r="E209" s="113"/>
      <c r="F209" s="113"/>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2"/>
      <c r="C210" s="113"/>
      <c r="D210" s="113"/>
      <c r="E210" s="113"/>
      <c r="F210" s="113"/>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2"/>
      <c r="C211" s="113"/>
      <c r="D211" s="113"/>
      <c r="E211" s="113"/>
      <c r="F211" s="113"/>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2"/>
      <c r="C212" s="113"/>
      <c r="D212" s="113"/>
      <c r="E212" s="113"/>
      <c r="F212" s="113"/>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2"/>
      <c r="C213" s="113"/>
      <c r="D213" s="113"/>
      <c r="E213" s="113"/>
      <c r="F213" s="113"/>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2"/>
      <c r="C214" s="113"/>
      <c r="D214" s="113"/>
      <c r="E214" s="113"/>
      <c r="F214" s="113"/>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2"/>
      <c r="C215" s="113"/>
      <c r="D215" s="113"/>
      <c r="E215" s="113"/>
      <c r="F215" s="113"/>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2"/>
      <c r="C216" s="113"/>
      <c r="D216" s="113"/>
      <c r="E216" s="113"/>
      <c r="F216" s="113"/>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2"/>
      <c r="C217" s="113"/>
      <c r="D217" s="113"/>
      <c r="E217" s="113"/>
      <c r="F217" s="113"/>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2"/>
      <c r="C218" s="113"/>
      <c r="D218" s="113"/>
      <c r="E218" s="113"/>
      <c r="F218" s="113"/>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2"/>
      <c r="C219" s="113"/>
      <c r="D219" s="113"/>
      <c r="E219" s="113"/>
      <c r="F219" s="113"/>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2"/>
      <c r="C220" s="113"/>
      <c r="D220" s="113"/>
      <c r="E220" s="113"/>
      <c r="F220" s="113"/>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2"/>
      <c r="C221" s="113"/>
      <c r="D221" s="113"/>
      <c r="E221" s="113"/>
      <c r="F221" s="113"/>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2"/>
      <c r="C222" s="113"/>
      <c r="D222" s="113"/>
      <c r="E222" s="113"/>
      <c r="F222" s="113"/>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2"/>
      <c r="C223" s="113"/>
      <c r="D223" s="113"/>
      <c r="E223" s="113"/>
      <c r="F223" s="113"/>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2"/>
      <c r="C224" s="113"/>
      <c r="D224" s="113"/>
      <c r="E224" s="113"/>
      <c r="F224" s="113"/>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2"/>
      <c r="C225" s="113"/>
      <c r="D225" s="113"/>
      <c r="E225" s="113"/>
      <c r="F225" s="113"/>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2"/>
      <c r="C226" s="113"/>
      <c r="D226" s="113"/>
      <c r="E226" s="113"/>
      <c r="F226" s="113"/>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2"/>
      <c r="C227" s="113"/>
      <c r="D227" s="113"/>
      <c r="E227" s="113"/>
      <c r="F227" s="113"/>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2"/>
      <c r="C228" s="113"/>
      <c r="D228" s="113"/>
      <c r="E228" s="113"/>
      <c r="F228" s="113"/>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2"/>
      <c r="C229" s="113"/>
      <c r="D229" s="113"/>
      <c r="E229" s="113"/>
      <c r="F229" s="113"/>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2"/>
      <c r="C230" s="113"/>
      <c r="D230" s="113"/>
      <c r="E230" s="113"/>
      <c r="F230" s="113"/>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2"/>
      <c r="C231" s="113"/>
      <c r="D231" s="113"/>
      <c r="E231" s="113"/>
      <c r="F231" s="113"/>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2"/>
      <c r="C232" s="113"/>
      <c r="D232" s="113"/>
      <c r="E232" s="113"/>
      <c r="F232" s="113"/>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2"/>
      <c r="C233" s="113"/>
      <c r="D233" s="113"/>
      <c r="E233" s="113"/>
      <c r="F233" s="113"/>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2"/>
      <c r="C234" s="113"/>
      <c r="D234" s="113"/>
      <c r="E234" s="113"/>
      <c r="F234" s="113"/>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2"/>
      <c r="C235" s="113"/>
      <c r="D235" s="113"/>
      <c r="E235" s="113"/>
      <c r="F235" s="113"/>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2"/>
      <c r="C236" s="113"/>
      <c r="D236" s="113"/>
      <c r="E236" s="113"/>
      <c r="F236" s="113"/>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2"/>
      <c r="C237" s="113"/>
      <c r="D237" s="113"/>
      <c r="E237" s="113"/>
      <c r="F237" s="113"/>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2"/>
      <c r="C238" s="113"/>
      <c r="D238" s="113"/>
      <c r="E238" s="113"/>
      <c r="F238" s="113"/>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2"/>
      <c r="C239" s="113"/>
      <c r="D239" s="113"/>
      <c r="E239" s="113"/>
      <c r="F239" s="113"/>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2"/>
      <c r="C240" s="113"/>
      <c r="D240" s="113"/>
      <c r="E240" s="113"/>
      <c r="F240" s="113"/>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2"/>
      <c r="C241" s="113"/>
      <c r="D241" s="113"/>
      <c r="E241" s="113"/>
      <c r="F241" s="113"/>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2"/>
      <c r="C242" s="113"/>
      <c r="D242" s="113"/>
      <c r="E242" s="113"/>
      <c r="F242" s="113"/>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2"/>
      <c r="C243" s="113"/>
      <c r="D243" s="113"/>
      <c r="E243" s="113"/>
      <c r="F243" s="113"/>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2"/>
      <c r="C244" s="113"/>
      <c r="D244" s="113"/>
      <c r="E244" s="113"/>
      <c r="F244" s="113"/>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2"/>
      <c r="C245" s="113"/>
      <c r="D245" s="113"/>
      <c r="E245" s="113"/>
      <c r="F245" s="113"/>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2"/>
      <c r="C246" s="113"/>
      <c r="D246" s="113"/>
      <c r="E246" s="113"/>
      <c r="F246" s="113"/>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2"/>
      <c r="C247" s="113"/>
      <c r="D247" s="113"/>
      <c r="E247" s="113"/>
      <c r="F247" s="113"/>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2"/>
      <c r="C248" s="113"/>
      <c r="D248" s="113"/>
      <c r="E248" s="113"/>
      <c r="F248" s="113"/>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2"/>
      <c r="C249" s="113"/>
      <c r="D249" s="113"/>
      <c r="E249" s="113"/>
      <c r="F249" s="113"/>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2"/>
      <c r="C250" s="113"/>
      <c r="D250" s="113"/>
      <c r="E250" s="113"/>
      <c r="F250" s="113"/>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2"/>
      <c r="C251" s="113"/>
      <c r="D251" s="113"/>
      <c r="E251" s="113"/>
      <c r="F251" s="113"/>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2"/>
      <c r="C252" s="113"/>
      <c r="D252" s="113"/>
      <c r="E252" s="113"/>
      <c r="F252" s="113"/>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2"/>
      <c r="C253" s="113"/>
      <c r="D253" s="113"/>
      <c r="E253" s="113"/>
      <c r="F253" s="113"/>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2"/>
      <c r="C254" s="113"/>
      <c r="D254" s="113"/>
      <c r="E254" s="113"/>
      <c r="F254" s="113"/>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2"/>
      <c r="C255" s="113"/>
      <c r="D255" s="113"/>
      <c r="E255" s="113"/>
      <c r="F255" s="113"/>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2"/>
      <c r="C256" s="113"/>
      <c r="D256" s="113"/>
      <c r="E256" s="113"/>
      <c r="F256" s="113"/>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2"/>
      <c r="C257" s="113"/>
      <c r="D257" s="113"/>
      <c r="E257" s="113"/>
      <c r="F257" s="113"/>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2"/>
      <c r="C258" s="113"/>
      <c r="D258" s="113"/>
      <c r="E258" s="113"/>
      <c r="F258" s="113"/>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2"/>
      <c r="C259" s="113"/>
      <c r="D259" s="113"/>
      <c r="E259" s="113"/>
      <c r="F259" s="113"/>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2"/>
      <c r="C260" s="113"/>
      <c r="D260" s="113"/>
      <c r="E260" s="113"/>
      <c r="F260" s="113"/>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2"/>
      <c r="C261" s="113"/>
      <c r="D261" s="113"/>
      <c r="E261" s="113"/>
      <c r="F261" s="113"/>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2"/>
      <c r="C262" s="113"/>
      <c r="D262" s="113"/>
      <c r="E262" s="113"/>
      <c r="F262" s="113"/>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2"/>
      <c r="C263" s="113"/>
      <c r="D263" s="113"/>
      <c r="E263" s="113"/>
      <c r="F263" s="113"/>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2"/>
      <c r="C264" s="113"/>
      <c r="D264" s="113"/>
      <c r="E264" s="113"/>
      <c r="F264" s="113"/>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2"/>
      <c r="C265" s="113"/>
      <c r="D265" s="113"/>
      <c r="E265" s="113"/>
      <c r="F265" s="113"/>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2"/>
      <c r="C266" s="113"/>
      <c r="D266" s="113"/>
      <c r="E266" s="113"/>
      <c r="F266" s="113"/>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2"/>
      <c r="C267" s="113"/>
      <c r="D267" s="113"/>
      <c r="E267" s="113"/>
      <c r="F267" s="113"/>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2"/>
      <c r="C268" s="113"/>
      <c r="D268" s="113"/>
      <c r="E268" s="113"/>
      <c r="F268" s="113"/>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2"/>
      <c r="C269" s="113"/>
      <c r="D269" s="113"/>
      <c r="E269" s="113"/>
      <c r="F269" s="113"/>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2"/>
      <c r="C270" s="113"/>
      <c r="D270" s="113"/>
      <c r="E270" s="113"/>
      <c r="F270" s="113"/>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2"/>
      <c r="C271" s="113"/>
      <c r="D271" s="113"/>
      <c r="E271" s="113"/>
      <c r="F271" s="113"/>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2"/>
      <c r="C272" s="113"/>
      <c r="D272" s="113"/>
      <c r="E272" s="113"/>
      <c r="F272" s="113"/>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2"/>
      <c r="C273" s="113"/>
      <c r="D273" s="113"/>
      <c r="E273" s="113"/>
      <c r="F273" s="113"/>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2"/>
      <c r="C274" s="113"/>
      <c r="D274" s="113"/>
      <c r="E274" s="113"/>
      <c r="F274" s="113"/>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2"/>
      <c r="C275" s="113"/>
      <c r="D275" s="113"/>
      <c r="E275" s="113"/>
      <c r="F275" s="113"/>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2"/>
      <c r="C276" s="113"/>
      <c r="D276" s="113"/>
      <c r="E276" s="113"/>
      <c r="F276" s="113"/>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2"/>
      <c r="C277" s="113"/>
      <c r="D277" s="113"/>
      <c r="E277" s="113"/>
      <c r="F277" s="113"/>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2"/>
      <c r="C278" s="113"/>
      <c r="D278" s="113"/>
      <c r="E278" s="113"/>
      <c r="F278" s="113"/>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2"/>
      <c r="C279" s="113"/>
      <c r="D279" s="113"/>
      <c r="E279" s="113"/>
      <c r="F279" s="113"/>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2"/>
      <c r="C280" s="113"/>
      <c r="D280" s="113"/>
      <c r="E280" s="113"/>
      <c r="F280" s="113"/>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2"/>
      <c r="C281" s="113"/>
      <c r="D281" s="113"/>
      <c r="E281" s="113"/>
      <c r="F281" s="113"/>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2"/>
      <c r="C282" s="113"/>
      <c r="D282" s="113"/>
      <c r="E282" s="113"/>
      <c r="F282" s="113"/>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2"/>
      <c r="C283" s="113"/>
      <c r="D283" s="113"/>
      <c r="E283" s="113"/>
      <c r="F283" s="113"/>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2"/>
      <c r="C284" s="113"/>
      <c r="D284" s="113"/>
      <c r="E284" s="113"/>
      <c r="F284" s="113"/>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2"/>
      <c r="C285" s="113"/>
      <c r="D285" s="113"/>
      <c r="E285" s="113"/>
      <c r="F285" s="113"/>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2"/>
      <c r="C286" s="113"/>
      <c r="D286" s="113"/>
      <c r="E286" s="113"/>
      <c r="F286" s="113"/>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2"/>
      <c r="C287" s="113"/>
      <c r="D287" s="113"/>
      <c r="E287" s="113"/>
      <c r="F287" s="113"/>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2"/>
      <c r="C288" s="113"/>
      <c r="D288" s="113"/>
      <c r="E288" s="113"/>
      <c r="F288" s="113"/>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2"/>
      <c r="C289" s="113"/>
      <c r="D289" s="113"/>
      <c r="E289" s="113"/>
      <c r="F289" s="113"/>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2"/>
      <c r="C290" s="113"/>
      <c r="D290" s="113"/>
      <c r="E290" s="113"/>
      <c r="F290" s="113"/>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2"/>
      <c r="C291" s="113"/>
      <c r="D291" s="113"/>
      <c r="E291" s="113"/>
      <c r="F291" s="113"/>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2"/>
      <c r="C292" s="113"/>
      <c r="D292" s="113"/>
      <c r="E292" s="113"/>
      <c r="F292" s="113"/>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2"/>
      <c r="C293" s="113"/>
      <c r="D293" s="113"/>
      <c r="E293" s="113"/>
      <c r="F293" s="113"/>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2"/>
      <c r="C294" s="113"/>
      <c r="D294" s="113"/>
      <c r="E294" s="113"/>
      <c r="F294" s="113"/>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2"/>
      <c r="C295" s="113"/>
      <c r="D295" s="113"/>
      <c r="E295" s="113"/>
      <c r="F295" s="113"/>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2"/>
      <c r="C296" s="113"/>
      <c r="D296" s="113"/>
      <c r="E296" s="113"/>
      <c r="F296" s="113"/>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2"/>
      <c r="C297" s="113"/>
      <c r="D297" s="113"/>
      <c r="E297" s="113"/>
      <c r="F297" s="113"/>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2"/>
      <c r="C298" s="113"/>
      <c r="D298" s="113"/>
      <c r="E298" s="113"/>
      <c r="F298" s="113"/>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2"/>
      <c r="C299" s="113"/>
      <c r="D299" s="113"/>
      <c r="E299" s="113"/>
      <c r="F299" s="113"/>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2"/>
      <c r="C300" s="113"/>
      <c r="D300" s="113"/>
      <c r="E300" s="113"/>
      <c r="F300" s="113"/>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2"/>
      <c r="C301" s="113"/>
      <c r="D301" s="113"/>
      <c r="E301" s="113"/>
      <c r="F301" s="113"/>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2"/>
      <c r="C302" s="113"/>
      <c r="D302" s="113"/>
      <c r="E302" s="113"/>
      <c r="F302" s="113"/>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2"/>
      <c r="C303" s="113"/>
      <c r="D303" s="113"/>
      <c r="E303" s="113"/>
      <c r="F303" s="113"/>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2"/>
      <c r="C304" s="113"/>
      <c r="D304" s="113"/>
      <c r="E304" s="113"/>
      <c r="F304" s="113"/>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2"/>
      <c r="C305" s="113"/>
      <c r="D305" s="113"/>
      <c r="E305" s="113"/>
      <c r="F305" s="113"/>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2"/>
      <c r="C306" s="113"/>
      <c r="D306" s="113"/>
      <c r="E306" s="113"/>
      <c r="F306" s="113"/>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2"/>
      <c r="C307" s="113"/>
      <c r="D307" s="113"/>
      <c r="E307" s="113"/>
      <c r="F307" s="113"/>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2"/>
      <c r="C308" s="113"/>
      <c r="D308" s="113"/>
      <c r="E308" s="113"/>
      <c r="F308" s="113"/>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2"/>
      <c r="C309" s="113"/>
      <c r="D309" s="113"/>
      <c r="E309" s="113"/>
      <c r="F309" s="113"/>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2"/>
      <c r="C310" s="113"/>
      <c r="D310" s="113"/>
      <c r="E310" s="113"/>
      <c r="F310" s="113"/>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2"/>
      <c r="C311" s="113"/>
      <c r="D311" s="113"/>
      <c r="E311" s="113"/>
      <c r="F311" s="113"/>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2"/>
      <c r="C312" s="113"/>
      <c r="D312" s="113"/>
      <c r="E312" s="113"/>
      <c r="F312" s="113"/>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2"/>
      <c r="C313" s="113"/>
      <c r="D313" s="113"/>
      <c r="E313" s="113"/>
      <c r="F313" s="113"/>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2"/>
      <c r="C314" s="113"/>
      <c r="D314" s="113"/>
      <c r="E314" s="113"/>
      <c r="F314" s="113"/>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2"/>
      <c r="C315" s="113"/>
      <c r="D315" s="113"/>
      <c r="E315" s="113"/>
      <c r="F315" s="113"/>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2"/>
      <c r="C316" s="113"/>
      <c r="D316" s="113"/>
      <c r="E316" s="113"/>
      <c r="F316" s="113"/>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2"/>
      <c r="C317" s="113"/>
      <c r="D317" s="113"/>
      <c r="E317" s="113"/>
      <c r="F317" s="113"/>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2"/>
      <c r="C318" s="113"/>
      <c r="D318" s="113"/>
      <c r="E318" s="113"/>
      <c r="F318" s="113"/>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2"/>
      <c r="C319" s="113"/>
      <c r="D319" s="113"/>
      <c r="E319" s="113"/>
      <c r="F319" s="113"/>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2"/>
      <c r="C320" s="113"/>
      <c r="D320" s="113"/>
      <c r="E320" s="113"/>
      <c r="F320" s="113"/>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2"/>
      <c r="C321" s="113"/>
      <c r="D321" s="113"/>
      <c r="E321" s="113"/>
      <c r="F321" s="113"/>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2"/>
      <c r="C322" s="113"/>
      <c r="D322" s="113"/>
      <c r="E322" s="113"/>
      <c r="F322" s="113"/>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2"/>
      <c r="C323" s="113"/>
      <c r="D323" s="113"/>
      <c r="E323" s="113"/>
      <c r="F323" s="113"/>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2"/>
      <c r="C324" s="113"/>
      <c r="D324" s="113"/>
      <c r="E324" s="113"/>
      <c r="F324" s="113"/>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2"/>
      <c r="C325" s="113"/>
      <c r="D325" s="113"/>
      <c r="E325" s="113"/>
      <c r="F325" s="113"/>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2"/>
      <c r="C326" s="113"/>
      <c r="D326" s="113"/>
      <c r="E326" s="113"/>
      <c r="F326" s="113"/>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2"/>
      <c r="C327" s="113"/>
      <c r="D327" s="113"/>
      <c r="E327" s="113"/>
      <c r="F327" s="113"/>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2"/>
      <c r="C328" s="113"/>
      <c r="D328" s="113"/>
      <c r="E328" s="113"/>
      <c r="F328" s="113"/>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2"/>
      <c r="C329" s="113"/>
      <c r="D329" s="113"/>
      <c r="E329" s="113"/>
      <c r="F329" s="113"/>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2"/>
      <c r="C330" s="113"/>
      <c r="D330" s="113"/>
      <c r="E330" s="113"/>
      <c r="F330" s="113"/>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2"/>
      <c r="C331" s="113"/>
      <c r="D331" s="113"/>
      <c r="E331" s="113"/>
      <c r="F331" s="113"/>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2"/>
      <c r="C332" s="113"/>
      <c r="D332" s="113"/>
      <c r="E332" s="113"/>
      <c r="F332" s="113"/>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2"/>
      <c r="C333" s="113"/>
      <c r="D333" s="113"/>
      <c r="E333" s="113"/>
      <c r="F333" s="113"/>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2"/>
      <c r="C334" s="113"/>
      <c r="D334" s="113"/>
      <c r="E334" s="113"/>
      <c r="F334" s="113"/>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2"/>
      <c r="C335" s="113"/>
      <c r="D335" s="113"/>
      <c r="E335" s="113"/>
      <c r="F335" s="113"/>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2"/>
      <c r="C336" s="113"/>
      <c r="D336" s="113"/>
      <c r="E336" s="113"/>
      <c r="F336" s="113"/>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2"/>
      <c r="C337" s="113"/>
      <c r="D337" s="113"/>
      <c r="E337" s="113"/>
      <c r="F337" s="113"/>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2"/>
      <c r="C338" s="113"/>
      <c r="D338" s="113"/>
      <c r="E338" s="113"/>
      <c r="F338" s="113"/>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2"/>
      <c r="C339" s="113"/>
      <c r="D339" s="113"/>
      <c r="E339" s="113"/>
      <c r="F339" s="113"/>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2"/>
      <c r="C340" s="113"/>
      <c r="D340" s="113"/>
      <c r="E340" s="113"/>
      <c r="F340" s="113"/>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2"/>
      <c r="C341" s="113"/>
      <c r="D341" s="113"/>
      <c r="E341" s="113"/>
      <c r="F341" s="113"/>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2"/>
      <c r="C342" s="113"/>
      <c r="D342" s="113"/>
      <c r="E342" s="113"/>
      <c r="F342" s="113"/>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2"/>
      <c r="C343" s="113"/>
      <c r="D343" s="113"/>
      <c r="E343" s="113"/>
      <c r="F343" s="113"/>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2"/>
      <c r="C344" s="113"/>
      <c r="D344" s="113"/>
      <c r="E344" s="113"/>
      <c r="F344" s="113"/>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2"/>
      <c r="C345" s="113"/>
      <c r="D345" s="113"/>
      <c r="E345" s="113"/>
      <c r="F345" s="113"/>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2"/>
      <c r="C346" s="113"/>
      <c r="D346" s="113"/>
      <c r="E346" s="113"/>
      <c r="F346" s="113"/>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2"/>
      <c r="C347" s="113"/>
      <c r="D347" s="113"/>
      <c r="E347" s="113"/>
      <c r="F347" s="113"/>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2"/>
      <c r="C348" s="113"/>
      <c r="D348" s="113"/>
      <c r="E348" s="113"/>
      <c r="F348" s="113"/>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2"/>
      <c r="C349" s="113"/>
      <c r="D349" s="113"/>
      <c r="E349" s="113"/>
      <c r="F349" s="113"/>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2"/>
      <c r="C350" s="113"/>
      <c r="D350" s="113"/>
      <c r="E350" s="113"/>
      <c r="F350" s="113"/>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2"/>
      <c r="C351" s="113"/>
      <c r="D351" s="113"/>
      <c r="E351" s="113"/>
      <c r="F351" s="113"/>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2"/>
      <c r="C352" s="113"/>
      <c r="D352" s="113"/>
      <c r="E352" s="113"/>
      <c r="F352" s="113"/>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2"/>
      <c r="C353" s="113"/>
      <c r="D353" s="113"/>
      <c r="E353" s="113"/>
      <c r="F353" s="113"/>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2"/>
      <c r="C354" s="113"/>
      <c r="D354" s="113"/>
      <c r="E354" s="113"/>
      <c r="F354" s="113"/>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2"/>
      <c r="C355" s="113"/>
      <c r="D355" s="113"/>
      <c r="E355" s="113"/>
      <c r="F355" s="113"/>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2"/>
      <c r="C356" s="113"/>
      <c r="D356" s="113"/>
      <c r="E356" s="113"/>
      <c r="F356" s="113"/>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2"/>
      <c r="C357" s="113"/>
      <c r="D357" s="113"/>
      <c r="E357" s="113"/>
      <c r="F357" s="113"/>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2"/>
      <c r="C358" s="113"/>
      <c r="D358" s="113"/>
      <c r="E358" s="113"/>
      <c r="F358" s="113"/>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2"/>
      <c r="C359" s="113"/>
      <c r="D359" s="113"/>
      <c r="E359" s="113"/>
      <c r="F359" s="113"/>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2"/>
      <c r="C360" s="113"/>
      <c r="D360" s="113"/>
      <c r="E360" s="113"/>
      <c r="F360" s="113"/>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2"/>
      <c r="C361" s="113"/>
      <c r="D361" s="113"/>
      <c r="E361" s="113"/>
      <c r="F361" s="113"/>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2"/>
      <c r="C362" s="113"/>
      <c r="D362" s="113"/>
      <c r="E362" s="113"/>
      <c r="F362" s="113"/>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2"/>
      <c r="C363" s="113"/>
      <c r="D363" s="113"/>
      <c r="E363" s="113"/>
      <c r="F363" s="113"/>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2"/>
      <c r="C364" s="113"/>
      <c r="D364" s="113"/>
      <c r="E364" s="113"/>
      <c r="F364" s="113"/>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2"/>
      <c r="C365" s="113"/>
      <c r="D365" s="113"/>
      <c r="E365" s="113"/>
      <c r="F365" s="113"/>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2"/>
      <c r="C366" s="113"/>
      <c r="D366" s="113"/>
      <c r="E366" s="113"/>
      <c r="F366" s="113"/>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2"/>
      <c r="C367" s="113"/>
      <c r="D367" s="113"/>
      <c r="E367" s="113"/>
      <c r="F367" s="113"/>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2"/>
      <c r="C368" s="113"/>
      <c r="D368" s="113"/>
      <c r="E368" s="113"/>
      <c r="F368" s="113"/>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2"/>
      <c r="C369" s="113"/>
      <c r="D369" s="113"/>
      <c r="E369" s="113"/>
      <c r="F369" s="113"/>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2"/>
      <c r="C370" s="113"/>
      <c r="D370" s="113"/>
      <c r="E370" s="113"/>
      <c r="F370" s="113"/>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2"/>
      <c r="C371" s="113"/>
      <c r="D371" s="113"/>
      <c r="E371" s="113"/>
      <c r="F371" s="113"/>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2"/>
      <c r="C372" s="113"/>
      <c r="D372" s="113"/>
      <c r="E372" s="113"/>
      <c r="F372" s="113"/>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2"/>
      <c r="C373" s="113"/>
      <c r="D373" s="113"/>
      <c r="E373" s="113"/>
      <c r="F373" s="113"/>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2"/>
      <c r="C374" s="113"/>
      <c r="D374" s="113"/>
      <c r="E374" s="113"/>
      <c r="F374" s="113"/>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2"/>
      <c r="C375" s="113"/>
      <c r="D375" s="113"/>
      <c r="E375" s="113"/>
      <c r="F375" s="113"/>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2"/>
      <c r="C376" s="113"/>
      <c r="D376" s="113"/>
      <c r="E376" s="113"/>
      <c r="F376" s="113"/>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2"/>
      <c r="C377" s="113"/>
      <c r="D377" s="113"/>
      <c r="E377" s="113"/>
      <c r="F377" s="113"/>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2"/>
      <c r="C378" s="113"/>
      <c r="D378" s="113"/>
      <c r="E378" s="113"/>
      <c r="F378" s="113"/>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2"/>
      <c r="C379" s="113"/>
      <c r="D379" s="113"/>
      <c r="E379" s="113"/>
      <c r="F379" s="113"/>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2"/>
      <c r="C380" s="113"/>
      <c r="D380" s="113"/>
      <c r="E380" s="113"/>
      <c r="F380" s="113"/>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2"/>
      <c r="C381" s="113"/>
      <c r="D381" s="113"/>
      <c r="E381" s="113"/>
      <c r="F381" s="113"/>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2"/>
      <c r="C382" s="113"/>
      <c r="D382" s="113"/>
      <c r="E382" s="113"/>
      <c r="F382" s="113"/>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2"/>
      <c r="C383" s="113"/>
      <c r="D383" s="113"/>
      <c r="E383" s="113"/>
      <c r="F383" s="113"/>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2"/>
      <c r="C384" s="113"/>
      <c r="D384" s="113"/>
      <c r="E384" s="113"/>
      <c r="F384" s="113"/>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2"/>
      <c r="C385" s="113"/>
      <c r="D385" s="113"/>
      <c r="E385" s="113"/>
      <c r="F385" s="113"/>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2"/>
      <c r="C386" s="113"/>
      <c r="D386" s="113"/>
      <c r="E386" s="113"/>
      <c r="F386" s="113"/>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2"/>
      <c r="C387" s="113"/>
      <c r="D387" s="113"/>
      <c r="E387" s="113"/>
      <c r="F387" s="113"/>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2"/>
      <c r="C388" s="113"/>
      <c r="D388" s="113"/>
      <c r="E388" s="113"/>
      <c r="F388" s="113"/>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2"/>
      <c r="C389" s="113"/>
      <c r="D389" s="113"/>
      <c r="E389" s="113"/>
      <c r="F389" s="113"/>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2"/>
      <c r="C390" s="113"/>
      <c r="D390" s="113"/>
      <c r="E390" s="113"/>
      <c r="F390" s="113"/>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2"/>
      <c r="C391" s="113"/>
      <c r="D391" s="113"/>
      <c r="E391" s="113"/>
      <c r="F391" s="113"/>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2"/>
      <c r="C392" s="113"/>
      <c r="D392" s="113"/>
      <c r="E392" s="113"/>
      <c r="F392" s="113"/>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2"/>
      <c r="C393" s="113"/>
      <c r="D393" s="113"/>
      <c r="E393" s="113"/>
      <c r="F393" s="113"/>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2"/>
      <c r="C394" s="113"/>
      <c r="D394" s="113"/>
      <c r="E394" s="113"/>
      <c r="F394" s="113"/>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2"/>
      <c r="C395" s="113"/>
      <c r="D395" s="113"/>
      <c r="E395" s="113"/>
      <c r="F395" s="113"/>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2"/>
      <c r="C396" s="113"/>
      <c r="D396" s="113"/>
      <c r="E396" s="113"/>
      <c r="F396" s="113"/>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2"/>
      <c r="C397" s="113"/>
      <c r="D397" s="113"/>
      <c r="E397" s="113"/>
      <c r="F397" s="113"/>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2"/>
      <c r="C398" s="113"/>
      <c r="D398" s="113"/>
      <c r="E398" s="113"/>
      <c r="F398" s="113"/>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2"/>
      <c r="C399" s="113"/>
      <c r="D399" s="113"/>
      <c r="E399" s="113"/>
      <c r="F399" s="113"/>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2"/>
      <c r="C400" s="113"/>
      <c r="D400" s="113"/>
      <c r="E400" s="113"/>
      <c r="F400" s="113"/>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2"/>
      <c r="C401" s="113"/>
      <c r="D401" s="113"/>
      <c r="E401" s="113"/>
      <c r="F401" s="113"/>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2"/>
      <c r="C402" s="113"/>
      <c r="D402" s="113"/>
      <c r="E402" s="113"/>
      <c r="F402" s="113"/>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2"/>
      <c r="C403" s="113"/>
      <c r="D403" s="113"/>
      <c r="E403" s="113"/>
      <c r="F403" s="113"/>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2"/>
      <c r="C404" s="113"/>
      <c r="D404" s="113"/>
      <c r="E404" s="113"/>
      <c r="F404" s="113"/>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2"/>
      <c r="C405" s="113"/>
      <c r="D405" s="113"/>
      <c r="E405" s="113"/>
      <c r="F405" s="113"/>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2"/>
      <c r="C406" s="113"/>
      <c r="D406" s="113"/>
      <c r="E406" s="113"/>
      <c r="F406" s="113"/>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2"/>
      <c r="C407" s="113"/>
      <c r="D407" s="113"/>
      <c r="E407" s="113"/>
      <c r="F407" s="113"/>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2"/>
      <c r="C408" s="113"/>
      <c r="D408" s="113"/>
      <c r="E408" s="113"/>
      <c r="F408" s="113"/>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2"/>
      <c r="C409" s="113"/>
      <c r="D409" s="113"/>
      <c r="E409" s="113"/>
      <c r="F409" s="113"/>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2"/>
      <c r="C410" s="113"/>
      <c r="D410" s="113"/>
      <c r="E410" s="113"/>
      <c r="F410" s="113"/>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2"/>
      <c r="C411" s="113"/>
      <c r="D411" s="113"/>
      <c r="E411" s="113"/>
      <c r="F411" s="113"/>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2"/>
      <c r="C412" s="113"/>
      <c r="D412" s="113"/>
      <c r="E412" s="113"/>
      <c r="F412" s="113"/>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2"/>
      <c r="C413" s="113"/>
      <c r="D413" s="113"/>
      <c r="E413" s="113"/>
      <c r="F413" s="113"/>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2"/>
      <c r="C414" s="113"/>
      <c r="D414" s="113"/>
      <c r="E414" s="113"/>
      <c r="F414" s="113"/>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2"/>
      <c r="C415" s="113"/>
      <c r="D415" s="113"/>
      <c r="E415" s="113"/>
      <c r="F415" s="113"/>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2"/>
      <c r="C416" s="113"/>
      <c r="D416" s="113"/>
      <c r="E416" s="113"/>
      <c r="F416" s="113"/>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2"/>
      <c r="C417" s="113"/>
      <c r="D417" s="113"/>
      <c r="E417" s="113"/>
      <c r="F417" s="113"/>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2"/>
      <c r="C418" s="113"/>
      <c r="D418" s="113"/>
      <c r="E418" s="113"/>
      <c r="F418" s="113"/>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2"/>
      <c r="C419" s="113"/>
      <c r="D419" s="113"/>
      <c r="E419" s="113"/>
      <c r="F419" s="113"/>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2"/>
      <c r="C420" s="113"/>
      <c r="D420" s="113"/>
      <c r="E420" s="113"/>
      <c r="F420" s="113"/>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2"/>
      <c r="C421" s="113"/>
      <c r="D421" s="113"/>
      <c r="E421" s="113"/>
      <c r="F421" s="113"/>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2"/>
      <c r="C422" s="113"/>
      <c r="D422" s="113"/>
      <c r="E422" s="113"/>
      <c r="F422" s="113"/>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2"/>
      <c r="C423" s="113"/>
      <c r="D423" s="113"/>
      <c r="E423" s="113"/>
      <c r="F423" s="113"/>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2"/>
      <c r="C424" s="113"/>
      <c r="D424" s="113"/>
      <c r="E424" s="113"/>
      <c r="F424" s="113"/>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2"/>
      <c r="C425" s="113"/>
      <c r="D425" s="113"/>
      <c r="E425" s="113"/>
      <c r="F425" s="113"/>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2"/>
      <c r="C426" s="113"/>
      <c r="D426" s="113"/>
      <c r="E426" s="113"/>
      <c r="F426" s="113"/>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2"/>
      <c r="C427" s="113"/>
      <c r="D427" s="113"/>
      <c r="E427" s="113"/>
      <c r="F427" s="113"/>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2"/>
      <c r="C428" s="113"/>
      <c r="D428" s="113"/>
      <c r="E428" s="113"/>
      <c r="F428" s="113"/>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2"/>
      <c r="C429" s="113"/>
      <c r="D429" s="113"/>
      <c r="E429" s="113"/>
      <c r="F429" s="113"/>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2"/>
      <c r="C430" s="113"/>
      <c r="D430" s="113"/>
      <c r="E430" s="113"/>
      <c r="F430" s="113"/>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2"/>
      <c r="C431" s="113"/>
      <c r="D431" s="113"/>
      <c r="E431" s="113"/>
      <c r="F431" s="113"/>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2"/>
      <c r="C432" s="113"/>
      <c r="D432" s="113"/>
      <c r="E432" s="113"/>
      <c r="F432" s="113"/>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2"/>
      <c r="C433" s="113"/>
      <c r="D433" s="113"/>
      <c r="E433" s="113"/>
      <c r="F433" s="113"/>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2"/>
      <c r="C434" s="113"/>
      <c r="D434" s="113"/>
      <c r="E434" s="113"/>
      <c r="F434" s="113"/>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2"/>
      <c r="C435" s="113"/>
      <c r="D435" s="113"/>
      <c r="E435" s="113"/>
      <c r="F435" s="113"/>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2"/>
      <c r="C436" s="113"/>
      <c r="D436" s="113"/>
      <c r="E436" s="113"/>
      <c r="F436" s="113"/>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2"/>
      <c r="C437" s="113"/>
      <c r="D437" s="113"/>
      <c r="E437" s="113"/>
      <c r="F437" s="113"/>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2"/>
      <c r="C438" s="113"/>
      <c r="D438" s="113"/>
      <c r="E438" s="113"/>
      <c r="F438" s="113"/>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2"/>
      <c r="C439" s="113"/>
      <c r="D439" s="113"/>
      <c r="E439" s="113"/>
      <c r="F439" s="113"/>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2"/>
      <c r="C440" s="113"/>
      <c r="D440" s="113"/>
      <c r="E440" s="113"/>
      <c r="F440" s="113"/>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2"/>
      <c r="C441" s="113"/>
      <c r="D441" s="113"/>
      <c r="E441" s="113"/>
      <c r="F441" s="113"/>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2"/>
      <c r="C442" s="113"/>
      <c r="D442" s="113"/>
      <c r="E442" s="113"/>
      <c r="F442" s="113"/>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2"/>
      <c r="C443" s="113"/>
      <c r="D443" s="113"/>
      <c r="E443" s="113"/>
      <c r="F443" s="113"/>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2"/>
      <c r="C444" s="113"/>
      <c r="D444" s="113"/>
      <c r="E444" s="113"/>
      <c r="F444" s="113"/>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2"/>
      <c r="C445" s="113"/>
      <c r="D445" s="113"/>
      <c r="E445" s="113"/>
      <c r="F445" s="113"/>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2"/>
      <c r="C446" s="113"/>
      <c r="D446" s="113"/>
      <c r="E446" s="113"/>
      <c r="F446" s="113"/>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2"/>
      <c r="C447" s="113"/>
      <c r="D447" s="113"/>
      <c r="E447" s="113"/>
      <c r="F447" s="113"/>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2"/>
      <c r="C448" s="113"/>
      <c r="D448" s="113"/>
      <c r="E448" s="113"/>
      <c r="F448" s="113"/>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2"/>
      <c r="C449" s="113"/>
      <c r="D449" s="113"/>
      <c r="E449" s="113"/>
      <c r="F449" s="113"/>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2"/>
      <c r="C450" s="113"/>
      <c r="D450" s="113"/>
      <c r="E450" s="113"/>
      <c r="F450" s="113"/>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2"/>
      <c r="C451" s="113"/>
      <c r="D451" s="113"/>
      <c r="E451" s="113"/>
      <c r="F451" s="113"/>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2"/>
      <c r="C452" s="113"/>
      <c r="D452" s="113"/>
      <c r="E452" s="113"/>
      <c r="F452" s="113"/>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2"/>
      <c r="C453" s="113"/>
      <c r="D453" s="113"/>
      <c r="E453" s="113"/>
      <c r="F453" s="113"/>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2"/>
      <c r="C454" s="113"/>
      <c r="D454" s="113"/>
      <c r="E454" s="113"/>
      <c r="F454" s="113"/>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2"/>
      <c r="C455" s="113"/>
      <c r="D455" s="113"/>
      <c r="E455" s="113"/>
      <c r="F455" s="113"/>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2"/>
      <c r="C456" s="113"/>
      <c r="D456" s="113"/>
      <c r="E456" s="113"/>
      <c r="F456" s="113"/>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2"/>
      <c r="C457" s="113"/>
      <c r="D457" s="113"/>
      <c r="E457" s="113"/>
      <c r="F457" s="113"/>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2"/>
      <c r="C458" s="113"/>
      <c r="D458" s="113"/>
      <c r="E458" s="113"/>
      <c r="F458" s="113"/>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2"/>
      <c r="C459" s="113"/>
      <c r="D459" s="113"/>
      <c r="E459" s="113"/>
      <c r="F459" s="113"/>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2"/>
      <c r="C460" s="113"/>
      <c r="D460" s="113"/>
      <c r="E460" s="113"/>
      <c r="F460" s="113"/>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2"/>
      <c r="C461" s="113"/>
      <c r="D461" s="113"/>
      <c r="E461" s="113"/>
      <c r="F461" s="113"/>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2"/>
      <c r="C462" s="113"/>
      <c r="D462" s="113"/>
      <c r="E462" s="113"/>
      <c r="F462" s="113"/>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2"/>
      <c r="C463" s="113"/>
      <c r="D463" s="113"/>
      <c r="E463" s="113"/>
      <c r="F463" s="113"/>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2"/>
      <c r="C464" s="113"/>
      <c r="D464" s="113"/>
      <c r="E464" s="113"/>
      <c r="F464" s="113"/>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2"/>
      <c r="C465" s="113"/>
      <c r="D465" s="113"/>
      <c r="E465" s="113"/>
      <c r="F465" s="113"/>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2"/>
      <c r="C466" s="113"/>
      <c r="D466" s="113"/>
      <c r="E466" s="113"/>
      <c r="F466" s="113"/>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2"/>
      <c r="C467" s="113"/>
      <c r="D467" s="113"/>
      <c r="E467" s="113"/>
      <c r="F467" s="113"/>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2"/>
      <c r="C468" s="113"/>
      <c r="D468" s="113"/>
      <c r="E468" s="113"/>
      <c r="F468" s="113"/>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2"/>
      <c r="C469" s="113"/>
      <c r="D469" s="113"/>
      <c r="E469" s="113"/>
      <c r="F469" s="113"/>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2"/>
      <c r="C470" s="113"/>
      <c r="D470" s="113"/>
      <c r="E470" s="113"/>
      <c r="F470" s="113"/>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2"/>
      <c r="C471" s="113"/>
      <c r="D471" s="113"/>
      <c r="E471" s="113"/>
      <c r="F471" s="113"/>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2"/>
      <c r="C472" s="113"/>
      <c r="D472" s="113"/>
      <c r="E472" s="113"/>
      <c r="F472" s="113"/>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2"/>
      <c r="C473" s="113"/>
      <c r="D473" s="113"/>
      <c r="E473" s="113"/>
      <c r="F473" s="113"/>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2"/>
      <c r="C474" s="113"/>
      <c r="D474" s="113"/>
      <c r="E474" s="113"/>
      <c r="F474" s="113"/>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2"/>
      <c r="C475" s="113"/>
      <c r="D475" s="113"/>
      <c r="E475" s="113"/>
      <c r="F475" s="113"/>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2"/>
      <c r="C476" s="113"/>
      <c r="D476" s="113"/>
      <c r="E476" s="113"/>
      <c r="F476" s="113"/>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2"/>
      <c r="C477" s="113"/>
      <c r="D477" s="113"/>
      <c r="E477" s="113"/>
      <c r="F477" s="113"/>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2"/>
      <c r="C478" s="113"/>
      <c r="D478" s="113"/>
      <c r="E478" s="113"/>
      <c r="F478" s="113"/>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2"/>
      <c r="C479" s="113"/>
      <c r="D479" s="113"/>
      <c r="E479" s="113"/>
      <c r="F479" s="113"/>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2"/>
      <c r="C480" s="113"/>
      <c r="D480" s="113"/>
      <c r="E480" s="113"/>
      <c r="F480" s="113"/>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2"/>
      <c r="C481" s="113"/>
      <c r="D481" s="113"/>
      <c r="E481" s="113"/>
      <c r="F481" s="113"/>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2"/>
      <c r="C482" s="113"/>
      <c r="D482" s="113"/>
      <c r="E482" s="113"/>
      <c r="F482" s="113"/>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2"/>
      <c r="C483" s="113"/>
      <c r="D483" s="113"/>
      <c r="E483" s="113"/>
      <c r="F483" s="113"/>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2"/>
      <c r="C484" s="113"/>
      <c r="D484" s="113"/>
      <c r="E484" s="113"/>
      <c r="F484" s="113"/>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2"/>
      <c r="C485" s="113"/>
      <c r="D485" s="113"/>
      <c r="E485" s="113"/>
      <c r="F485" s="113"/>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2"/>
      <c r="C486" s="113"/>
      <c r="D486" s="113"/>
      <c r="E486" s="113"/>
      <c r="F486" s="113"/>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2"/>
      <c r="C487" s="113"/>
      <c r="D487" s="113"/>
      <c r="E487" s="113"/>
      <c r="F487" s="113"/>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2"/>
      <c r="C488" s="113"/>
      <c r="D488" s="113"/>
      <c r="E488" s="113"/>
      <c r="F488" s="113"/>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2"/>
      <c r="C489" s="113"/>
      <c r="D489" s="113"/>
      <c r="E489" s="113"/>
      <c r="F489" s="113"/>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2"/>
      <c r="C490" s="113"/>
      <c r="D490" s="113"/>
      <c r="E490" s="113"/>
      <c r="F490" s="113"/>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2"/>
      <c r="C491" s="113"/>
      <c r="D491" s="113"/>
      <c r="E491" s="113"/>
      <c r="F491" s="113"/>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2"/>
      <c r="C492" s="113"/>
      <c r="D492" s="113"/>
      <c r="E492" s="113"/>
      <c r="F492" s="113"/>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2"/>
      <c r="C493" s="113"/>
      <c r="D493" s="113"/>
      <c r="E493" s="113"/>
      <c r="F493" s="113"/>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2"/>
      <c r="C494" s="113"/>
      <c r="D494" s="113"/>
      <c r="E494" s="113"/>
      <c r="F494" s="113"/>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2"/>
      <c r="C495" s="113"/>
      <c r="D495" s="113"/>
      <c r="E495" s="113"/>
      <c r="F495" s="113"/>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2"/>
      <c r="C496" s="113"/>
      <c r="D496" s="113"/>
      <c r="E496" s="113"/>
      <c r="F496" s="113"/>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2"/>
      <c r="C497" s="113"/>
      <c r="D497" s="113"/>
      <c r="E497" s="113"/>
      <c r="F497" s="113"/>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2"/>
      <c r="C498" s="113"/>
      <c r="D498" s="113"/>
      <c r="E498" s="113"/>
      <c r="F498" s="113"/>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2"/>
      <c r="C499" s="113"/>
      <c r="D499" s="113"/>
      <c r="E499" s="113"/>
      <c r="F499" s="113"/>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2"/>
      <c r="C500" s="113"/>
      <c r="D500" s="113"/>
      <c r="E500" s="113"/>
      <c r="F500" s="113"/>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2"/>
      <c r="C501" s="113"/>
      <c r="D501" s="113"/>
      <c r="E501" s="113"/>
      <c r="F501" s="113"/>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2"/>
      <c r="C502" s="113"/>
      <c r="D502" s="113"/>
      <c r="E502" s="113"/>
      <c r="F502" s="113"/>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2"/>
      <c r="C503" s="113"/>
      <c r="D503" s="113"/>
      <c r="E503" s="113"/>
      <c r="F503" s="113"/>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2"/>
      <c r="C504" s="113"/>
      <c r="D504" s="113"/>
      <c r="E504" s="113"/>
      <c r="F504" s="113"/>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2"/>
      <c r="C505" s="113"/>
      <c r="D505" s="113"/>
      <c r="E505" s="113"/>
      <c r="F505" s="113"/>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2"/>
      <c r="C506" s="113"/>
      <c r="D506" s="113"/>
      <c r="E506" s="113"/>
      <c r="F506" s="113"/>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2"/>
      <c r="C507" s="113"/>
      <c r="D507" s="113"/>
      <c r="E507" s="113"/>
      <c r="F507" s="113"/>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2"/>
      <c r="C508" s="113"/>
      <c r="D508" s="113"/>
      <c r="E508" s="113"/>
      <c r="F508" s="113"/>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2"/>
      <c r="C509" s="113"/>
      <c r="D509" s="113"/>
      <c r="E509" s="113"/>
      <c r="F509" s="113"/>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2"/>
      <c r="C510" s="113"/>
      <c r="D510" s="113"/>
      <c r="E510" s="113"/>
      <c r="F510" s="113"/>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2"/>
      <c r="C511" s="113"/>
      <c r="D511" s="113"/>
      <c r="E511" s="113"/>
      <c r="F511" s="113"/>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2"/>
      <c r="C512" s="113"/>
      <c r="D512" s="113"/>
      <c r="E512" s="113"/>
      <c r="F512" s="113"/>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2"/>
      <c r="C513" s="113"/>
      <c r="D513" s="113"/>
      <c r="E513" s="113"/>
      <c r="F513" s="113"/>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2"/>
      <c r="C514" s="113"/>
      <c r="D514" s="113"/>
      <c r="E514" s="113"/>
      <c r="F514" s="113"/>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2"/>
      <c r="C515" s="113"/>
      <c r="D515" s="113"/>
      <c r="E515" s="113"/>
      <c r="F515" s="113"/>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2"/>
      <c r="C516" s="113"/>
      <c r="D516" s="113"/>
      <c r="E516" s="113"/>
      <c r="F516" s="113"/>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2"/>
      <c r="C517" s="113"/>
      <c r="D517" s="113"/>
      <c r="E517" s="113"/>
      <c r="F517" s="113"/>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2"/>
      <c r="C518" s="113"/>
      <c r="D518" s="113"/>
      <c r="E518" s="113"/>
      <c r="F518" s="113"/>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2"/>
      <c r="C519" s="113"/>
      <c r="D519" s="113"/>
      <c r="E519" s="113"/>
      <c r="F519" s="113"/>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2"/>
      <c r="C520" s="113"/>
      <c r="D520" s="113"/>
      <c r="E520" s="113"/>
      <c r="F520" s="113"/>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2"/>
      <c r="C521" s="113"/>
      <c r="D521" s="113"/>
      <c r="E521" s="113"/>
      <c r="F521" s="113"/>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2"/>
      <c r="C522" s="113"/>
      <c r="D522" s="113"/>
      <c r="E522" s="113"/>
      <c r="F522" s="113"/>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2"/>
      <c r="C523" s="113"/>
      <c r="D523" s="113"/>
      <c r="E523" s="113"/>
      <c r="F523" s="113"/>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2"/>
      <c r="C524" s="113"/>
      <c r="D524" s="113"/>
      <c r="E524" s="113"/>
      <c r="F524" s="113"/>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2"/>
      <c r="C525" s="113"/>
      <c r="D525" s="113"/>
      <c r="E525" s="113"/>
      <c r="F525" s="113"/>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2"/>
      <c r="C526" s="113"/>
      <c r="D526" s="113"/>
      <c r="E526" s="113"/>
      <c r="F526" s="113"/>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2"/>
      <c r="C527" s="113"/>
      <c r="D527" s="113"/>
      <c r="E527" s="113"/>
      <c r="F527" s="113"/>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2"/>
      <c r="C528" s="113"/>
      <c r="D528" s="113"/>
      <c r="E528" s="113"/>
      <c r="F528" s="113"/>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2"/>
      <c r="C529" s="113"/>
      <c r="D529" s="113"/>
      <c r="E529" s="113"/>
      <c r="F529" s="113"/>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2"/>
      <c r="C530" s="113"/>
      <c r="D530" s="113"/>
      <c r="E530" s="113"/>
      <c r="F530" s="113"/>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2"/>
      <c r="C531" s="113"/>
      <c r="D531" s="113"/>
      <c r="E531" s="113"/>
      <c r="F531" s="113"/>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2"/>
      <c r="C532" s="113"/>
      <c r="D532" s="113"/>
      <c r="E532" s="113"/>
      <c r="F532" s="113"/>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2"/>
      <c r="C533" s="113"/>
      <c r="D533" s="113"/>
      <c r="E533" s="113"/>
      <c r="F533" s="113"/>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2"/>
      <c r="C534" s="113"/>
      <c r="D534" s="113"/>
      <c r="E534" s="113"/>
      <c r="F534" s="113"/>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2"/>
      <c r="C535" s="113"/>
      <c r="D535" s="113"/>
      <c r="E535" s="113"/>
      <c r="F535" s="113"/>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2"/>
      <c r="C536" s="113"/>
      <c r="D536" s="113"/>
      <c r="E536" s="113"/>
      <c r="F536" s="113"/>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2"/>
      <c r="C537" s="113"/>
      <c r="D537" s="113"/>
      <c r="E537" s="113"/>
      <c r="F537" s="113"/>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2"/>
      <c r="C538" s="113"/>
      <c r="D538" s="113"/>
      <c r="E538" s="113"/>
      <c r="F538" s="113"/>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2"/>
      <c r="C539" s="113"/>
      <c r="D539" s="113"/>
      <c r="E539" s="113"/>
      <c r="F539" s="113"/>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2"/>
      <c r="C540" s="113"/>
      <c r="D540" s="113"/>
      <c r="E540" s="113"/>
      <c r="F540" s="113"/>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2"/>
      <c r="C541" s="113"/>
      <c r="D541" s="113"/>
      <c r="E541" s="113"/>
      <c r="F541" s="113"/>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2"/>
      <c r="C542" s="113"/>
      <c r="D542" s="113"/>
      <c r="E542" s="113"/>
      <c r="F542" s="113"/>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2"/>
      <c r="C543" s="113"/>
      <c r="D543" s="113"/>
      <c r="E543" s="113"/>
      <c r="F543" s="113"/>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2"/>
      <c r="C544" s="113"/>
      <c r="D544" s="113"/>
      <c r="E544" s="113"/>
      <c r="F544" s="113"/>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2"/>
      <c r="C545" s="113"/>
      <c r="D545" s="113"/>
      <c r="E545" s="113"/>
      <c r="F545" s="113"/>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2"/>
      <c r="C546" s="113"/>
      <c r="D546" s="113"/>
      <c r="E546" s="113"/>
      <c r="F546" s="113"/>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2"/>
      <c r="C547" s="113"/>
      <c r="D547" s="113"/>
      <c r="E547" s="113"/>
      <c r="F547" s="113"/>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2"/>
      <c r="C548" s="113"/>
      <c r="D548" s="113"/>
      <c r="E548" s="113"/>
      <c r="F548" s="113"/>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2"/>
      <c r="C549" s="113"/>
      <c r="D549" s="113"/>
      <c r="E549" s="113"/>
      <c r="F549" s="113"/>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2"/>
      <c r="C550" s="113"/>
      <c r="D550" s="113"/>
      <c r="E550" s="113"/>
      <c r="F550" s="113"/>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2"/>
      <c r="C551" s="113"/>
      <c r="D551" s="113"/>
      <c r="E551" s="113"/>
      <c r="F551" s="113"/>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2"/>
      <c r="C552" s="113"/>
      <c r="D552" s="113"/>
      <c r="E552" s="113"/>
      <c r="F552" s="113"/>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2"/>
      <c r="C553" s="113"/>
      <c r="D553" s="113"/>
      <c r="E553" s="113"/>
      <c r="F553" s="113"/>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2"/>
      <c r="C554" s="113"/>
      <c r="D554" s="113"/>
      <c r="E554" s="113"/>
      <c r="F554" s="113"/>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2"/>
      <c r="C555" s="113"/>
      <c r="D555" s="113"/>
      <c r="E555" s="113"/>
      <c r="F555" s="113"/>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2"/>
      <c r="C556" s="113"/>
      <c r="D556" s="113"/>
      <c r="E556" s="113"/>
      <c r="F556" s="113"/>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2"/>
      <c r="C557" s="113"/>
      <c r="D557" s="113"/>
      <c r="E557" s="113"/>
      <c r="F557" s="113"/>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2"/>
      <c r="C558" s="113"/>
      <c r="D558" s="113"/>
      <c r="E558" s="113"/>
      <c r="F558" s="113"/>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2"/>
      <c r="C559" s="113"/>
      <c r="D559" s="113"/>
      <c r="E559" s="113"/>
      <c r="F559" s="113"/>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2"/>
      <c r="C560" s="113"/>
      <c r="D560" s="113"/>
      <c r="E560" s="113"/>
      <c r="F560" s="113"/>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2"/>
      <c r="C561" s="113"/>
      <c r="D561" s="113"/>
      <c r="E561" s="113"/>
      <c r="F561" s="113"/>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2"/>
      <c r="C562" s="113"/>
      <c r="D562" s="113"/>
      <c r="E562" s="113"/>
      <c r="F562" s="113"/>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2"/>
      <c r="C563" s="113"/>
      <c r="D563" s="113"/>
      <c r="E563" s="113"/>
      <c r="F563" s="113"/>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2"/>
      <c r="C564" s="113"/>
      <c r="D564" s="113"/>
      <c r="E564" s="113"/>
      <c r="F564" s="113"/>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2"/>
      <c r="C565" s="113"/>
      <c r="D565" s="113"/>
      <c r="E565" s="113"/>
      <c r="F565" s="113"/>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2"/>
      <c r="C566" s="113"/>
      <c r="D566" s="113"/>
      <c r="E566" s="113"/>
      <c r="F566" s="113"/>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2"/>
      <c r="C567" s="113"/>
      <c r="D567" s="113"/>
      <c r="E567" s="113"/>
      <c r="F567" s="113"/>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2"/>
      <c r="C568" s="113"/>
      <c r="D568" s="113"/>
      <c r="E568" s="113"/>
      <c r="F568" s="113"/>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2"/>
      <c r="C569" s="113"/>
      <c r="D569" s="113"/>
      <c r="E569" s="113"/>
      <c r="F569" s="113"/>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2"/>
      <c r="C570" s="113"/>
      <c r="D570" s="113"/>
      <c r="E570" s="113"/>
      <c r="F570" s="113"/>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2"/>
      <c r="C571" s="113"/>
      <c r="D571" s="113"/>
      <c r="E571" s="113"/>
      <c r="F571" s="113"/>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2"/>
      <c r="C572" s="113"/>
      <c r="D572" s="113"/>
      <c r="E572" s="113"/>
      <c r="F572" s="113"/>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2"/>
      <c r="C573" s="113"/>
      <c r="D573" s="113"/>
      <c r="E573" s="113"/>
      <c r="F573" s="113"/>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2"/>
      <c r="C574" s="113"/>
      <c r="D574" s="113"/>
      <c r="E574" s="113"/>
      <c r="F574" s="113"/>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2"/>
      <c r="C575" s="113"/>
      <c r="D575" s="113"/>
      <c r="E575" s="113"/>
      <c r="F575" s="113"/>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2"/>
      <c r="C576" s="113"/>
      <c r="D576" s="113"/>
      <c r="E576" s="113"/>
      <c r="F576" s="113"/>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2"/>
      <c r="C577" s="113"/>
      <c r="D577" s="113"/>
      <c r="E577" s="113"/>
      <c r="F577" s="113"/>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2"/>
      <c r="C578" s="113"/>
      <c r="D578" s="113"/>
      <c r="E578" s="113"/>
      <c r="F578" s="113"/>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2"/>
      <c r="C579" s="113"/>
      <c r="D579" s="113"/>
      <c r="E579" s="113"/>
      <c r="F579" s="113"/>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2"/>
      <c r="C580" s="113"/>
      <c r="D580" s="113"/>
      <c r="E580" s="113"/>
      <c r="F580" s="113"/>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2"/>
      <c r="C581" s="113"/>
      <c r="D581" s="113"/>
      <c r="E581" s="113"/>
      <c r="F581" s="113"/>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2"/>
      <c r="C582" s="113"/>
      <c r="D582" s="113"/>
      <c r="E582" s="113"/>
      <c r="F582" s="113"/>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2"/>
      <c r="C583" s="113"/>
      <c r="D583" s="113"/>
      <c r="E583" s="113"/>
      <c r="F583" s="113"/>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2"/>
      <c r="C584" s="113"/>
      <c r="D584" s="113"/>
      <c r="E584" s="113"/>
      <c r="F584" s="113"/>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2"/>
      <c r="C585" s="113"/>
      <c r="D585" s="113"/>
      <c r="E585" s="113"/>
      <c r="F585" s="113"/>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2"/>
      <c r="C586" s="113"/>
      <c r="D586" s="113"/>
      <c r="E586" s="113"/>
      <c r="F586" s="113"/>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2"/>
      <c r="C587" s="113"/>
      <c r="D587" s="113"/>
      <c r="E587" s="113"/>
      <c r="F587" s="113"/>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2"/>
      <c r="C588" s="113"/>
      <c r="D588" s="113"/>
      <c r="E588" s="113"/>
      <c r="F588" s="113"/>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2"/>
      <c r="C589" s="113"/>
      <c r="D589" s="113"/>
      <c r="E589" s="113"/>
      <c r="F589" s="113"/>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2"/>
      <c r="C590" s="113"/>
      <c r="D590" s="113"/>
      <c r="E590" s="113"/>
      <c r="F590" s="113"/>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2"/>
      <c r="C591" s="113"/>
      <c r="D591" s="113"/>
      <c r="E591" s="113"/>
      <c r="F591" s="113"/>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2"/>
      <c r="C592" s="113"/>
      <c r="D592" s="113"/>
      <c r="E592" s="113"/>
      <c r="F592" s="113"/>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2"/>
      <c r="C593" s="113"/>
      <c r="D593" s="113"/>
      <c r="E593" s="113"/>
      <c r="F593" s="113"/>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2"/>
      <c r="C594" s="113"/>
      <c r="D594" s="113"/>
      <c r="E594" s="113"/>
      <c r="F594" s="113"/>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2"/>
      <c r="C595" s="113"/>
      <c r="D595" s="113"/>
      <c r="E595" s="113"/>
      <c r="F595" s="113"/>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2"/>
      <c r="C596" s="113"/>
      <c r="D596" s="113"/>
      <c r="E596" s="113"/>
      <c r="F596" s="113"/>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2"/>
      <c r="C597" s="113"/>
      <c r="D597" s="113"/>
      <c r="E597" s="113"/>
      <c r="F597" s="113"/>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2"/>
      <c r="C598" s="113"/>
      <c r="D598" s="113"/>
      <c r="E598" s="113"/>
      <c r="F598" s="113"/>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2"/>
      <c r="C599" s="113"/>
      <c r="D599" s="113"/>
      <c r="E599" s="113"/>
      <c r="F599" s="113"/>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2"/>
      <c r="C600" s="113"/>
      <c r="D600" s="113"/>
      <c r="E600" s="113"/>
      <c r="F600" s="113"/>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2"/>
      <c r="C601" s="113"/>
      <c r="D601" s="113"/>
      <c r="E601" s="113"/>
      <c r="F601" s="113"/>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2"/>
      <c r="C602" s="113"/>
      <c r="D602" s="113"/>
      <c r="E602" s="113"/>
      <c r="F602" s="113"/>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2"/>
      <c r="C603" s="113"/>
      <c r="D603" s="113"/>
      <c r="E603" s="113"/>
      <c r="F603" s="113"/>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2"/>
      <c r="C604" s="113"/>
      <c r="D604" s="113"/>
      <c r="E604" s="113"/>
      <c r="F604" s="113"/>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2"/>
      <c r="C605" s="113"/>
      <c r="D605" s="113"/>
      <c r="E605" s="113"/>
      <c r="F605" s="113"/>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2"/>
      <c r="C606" s="113"/>
      <c r="D606" s="113"/>
      <c r="E606" s="113"/>
      <c r="F606" s="113"/>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2"/>
      <c r="C607" s="113"/>
      <c r="D607" s="113"/>
      <c r="E607" s="113"/>
      <c r="F607" s="113"/>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2"/>
      <c r="C608" s="113"/>
      <c r="D608" s="113"/>
      <c r="E608" s="113"/>
      <c r="F608" s="113"/>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2"/>
      <c r="C609" s="113"/>
      <c r="D609" s="113"/>
      <c r="E609" s="113"/>
      <c r="F609" s="113"/>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2"/>
      <c r="C610" s="113"/>
      <c r="D610" s="113"/>
      <c r="E610" s="113"/>
      <c r="F610" s="113"/>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2"/>
      <c r="C611" s="113"/>
      <c r="D611" s="113"/>
      <c r="E611" s="113"/>
      <c r="F611" s="113"/>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2"/>
      <c r="C612" s="113"/>
      <c r="D612" s="113"/>
      <c r="E612" s="113"/>
      <c r="F612" s="113"/>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2"/>
      <c r="C613" s="113"/>
      <c r="D613" s="113"/>
      <c r="E613" s="113"/>
      <c r="F613" s="113"/>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2"/>
      <c r="C614" s="113"/>
      <c r="D614" s="113"/>
      <c r="E614" s="113"/>
      <c r="F614" s="113"/>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2"/>
      <c r="C615" s="113"/>
      <c r="D615" s="113"/>
      <c r="E615" s="113"/>
      <c r="F615" s="113"/>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2"/>
      <c r="C616" s="113"/>
      <c r="D616" s="113"/>
      <c r="E616" s="113"/>
      <c r="F616" s="113"/>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2"/>
      <c r="C617" s="113"/>
      <c r="D617" s="113"/>
      <c r="E617" s="113"/>
      <c r="F617" s="113"/>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2"/>
      <c r="C618" s="113"/>
      <c r="D618" s="113"/>
      <c r="E618" s="113"/>
      <c r="F618" s="113"/>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2"/>
      <c r="C619" s="113"/>
      <c r="D619" s="113"/>
      <c r="E619" s="113"/>
      <c r="F619" s="113"/>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2"/>
      <c r="C620" s="113"/>
      <c r="D620" s="113"/>
      <c r="E620" s="113"/>
      <c r="F620" s="113"/>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2"/>
      <c r="C621" s="113"/>
      <c r="D621" s="113"/>
      <c r="E621" s="113"/>
      <c r="F621" s="113"/>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2"/>
      <c r="C622" s="113"/>
      <c r="D622" s="113"/>
      <c r="E622" s="113"/>
      <c r="F622" s="113"/>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2"/>
      <c r="C623" s="113"/>
      <c r="D623" s="113"/>
      <c r="E623" s="113"/>
      <c r="F623" s="113"/>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2"/>
      <c r="C624" s="113"/>
      <c r="D624" s="113"/>
      <c r="E624" s="113"/>
      <c r="F624" s="113"/>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2"/>
      <c r="C625" s="113"/>
      <c r="D625" s="113"/>
      <c r="E625" s="113"/>
      <c r="F625" s="113"/>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2"/>
      <c r="C626" s="113"/>
      <c r="D626" s="113"/>
      <c r="E626" s="113"/>
      <c r="F626" s="113"/>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2"/>
      <c r="C627" s="113"/>
      <c r="D627" s="113"/>
      <c r="E627" s="113"/>
      <c r="F627" s="113"/>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2"/>
      <c r="C628" s="113"/>
      <c r="D628" s="113"/>
      <c r="E628" s="113"/>
      <c r="F628" s="113"/>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2"/>
      <c r="C629" s="113"/>
      <c r="D629" s="113"/>
      <c r="E629" s="113"/>
      <c r="F629" s="113"/>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2"/>
      <c r="C630" s="113"/>
      <c r="D630" s="113"/>
      <c r="E630" s="113"/>
      <c r="F630" s="113"/>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2"/>
      <c r="C631" s="113"/>
      <c r="D631" s="113"/>
      <c r="E631" s="113"/>
      <c r="F631" s="113"/>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2"/>
      <c r="C632" s="113"/>
      <c r="D632" s="113"/>
      <c r="E632" s="113"/>
      <c r="F632" s="113"/>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2"/>
      <c r="C633" s="113"/>
      <c r="D633" s="113"/>
      <c r="E633" s="113"/>
      <c r="F633" s="113"/>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2"/>
      <c r="C634" s="113"/>
      <c r="D634" s="113"/>
      <c r="E634" s="113"/>
      <c r="F634" s="113"/>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2"/>
      <c r="C635" s="113"/>
      <c r="D635" s="113"/>
      <c r="E635" s="113"/>
      <c r="F635" s="113"/>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2"/>
      <c r="C636" s="113"/>
      <c r="D636" s="113"/>
      <c r="E636" s="113"/>
      <c r="F636" s="113"/>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2"/>
      <c r="C637" s="113"/>
      <c r="D637" s="113"/>
      <c r="E637" s="113"/>
      <c r="F637" s="113"/>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2"/>
      <c r="C638" s="113"/>
      <c r="D638" s="113"/>
      <c r="E638" s="113"/>
      <c r="F638" s="113"/>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2"/>
      <c r="C639" s="113"/>
      <c r="D639" s="113"/>
      <c r="E639" s="113"/>
      <c r="F639" s="113"/>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2"/>
      <c r="C640" s="113"/>
      <c r="D640" s="113"/>
      <c r="E640" s="113"/>
      <c r="F640" s="113"/>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2"/>
      <c r="C641" s="113"/>
      <c r="D641" s="113"/>
      <c r="E641" s="113"/>
      <c r="F641" s="113"/>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2"/>
      <c r="C642" s="113"/>
      <c r="D642" s="113"/>
      <c r="E642" s="113"/>
      <c r="F642" s="113"/>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2"/>
      <c r="C643" s="113"/>
      <c r="D643" s="113"/>
      <c r="E643" s="113"/>
      <c r="F643" s="113"/>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2"/>
      <c r="C644" s="113"/>
      <c r="D644" s="113"/>
      <c r="E644" s="113"/>
      <c r="F644" s="113"/>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2"/>
      <c r="C645" s="113"/>
      <c r="D645" s="113"/>
      <c r="E645" s="113"/>
      <c r="F645" s="113"/>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2"/>
      <c r="C646" s="113"/>
      <c r="D646" s="113"/>
      <c r="E646" s="113"/>
      <c r="F646" s="113"/>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2"/>
      <c r="C647" s="113"/>
      <c r="D647" s="113"/>
      <c r="E647" s="113"/>
      <c r="F647" s="113"/>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2"/>
      <c r="C648" s="113"/>
      <c r="D648" s="113"/>
      <c r="E648" s="113"/>
      <c r="F648" s="113"/>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2"/>
      <c r="C649" s="113"/>
      <c r="D649" s="113"/>
      <c r="E649" s="113"/>
      <c r="F649" s="113"/>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2"/>
      <c r="C650" s="113"/>
      <c r="D650" s="113"/>
      <c r="E650" s="113"/>
      <c r="F650" s="113"/>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2"/>
      <c r="C651" s="113"/>
      <c r="D651" s="113"/>
      <c r="E651" s="113"/>
      <c r="F651" s="113"/>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2"/>
      <c r="C652" s="113"/>
      <c r="D652" s="113"/>
      <c r="E652" s="113"/>
      <c r="F652" s="113"/>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2"/>
      <c r="C653" s="113"/>
      <c r="D653" s="113"/>
      <c r="E653" s="113"/>
      <c r="F653" s="113"/>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2"/>
      <c r="C654" s="113"/>
      <c r="D654" s="113"/>
      <c r="E654" s="113"/>
      <c r="F654" s="113"/>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2"/>
      <c r="C655" s="113"/>
      <c r="D655" s="113"/>
      <c r="E655" s="113"/>
      <c r="F655" s="113"/>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2"/>
      <c r="C656" s="113"/>
      <c r="D656" s="113"/>
      <c r="E656" s="113"/>
      <c r="F656" s="113"/>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2"/>
      <c r="C657" s="113"/>
      <c r="D657" s="113"/>
      <c r="E657" s="113"/>
      <c r="F657" s="113"/>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2"/>
      <c r="C658" s="113"/>
      <c r="D658" s="113"/>
      <c r="E658" s="113"/>
      <c r="F658" s="113"/>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2"/>
      <c r="C659" s="113"/>
      <c r="D659" s="113"/>
      <c r="E659" s="113"/>
      <c r="F659" s="113"/>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2"/>
      <c r="C660" s="113"/>
      <c r="D660" s="113"/>
      <c r="E660" s="113"/>
      <c r="F660" s="113"/>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2"/>
      <c r="C661" s="113"/>
      <c r="D661" s="113"/>
      <c r="E661" s="113"/>
      <c r="F661" s="113"/>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2"/>
      <c r="C662" s="113"/>
      <c r="D662" s="113"/>
      <c r="E662" s="113"/>
      <c r="F662" s="113"/>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2"/>
      <c r="C663" s="113"/>
      <c r="D663" s="113"/>
      <c r="E663" s="113"/>
      <c r="F663" s="113"/>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2"/>
      <c r="C664" s="113"/>
      <c r="D664" s="113"/>
      <c r="E664" s="113"/>
      <c r="F664" s="113"/>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2"/>
      <c r="C665" s="113"/>
      <c r="D665" s="113"/>
      <c r="E665" s="113"/>
      <c r="F665" s="113"/>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2"/>
      <c r="C666" s="113"/>
      <c r="D666" s="113"/>
      <c r="E666" s="113"/>
      <c r="F666" s="113"/>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2"/>
      <c r="C667" s="113"/>
      <c r="D667" s="113"/>
      <c r="E667" s="113"/>
      <c r="F667" s="113"/>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2"/>
      <c r="C668" s="113"/>
      <c r="D668" s="113"/>
      <c r="E668" s="113"/>
      <c r="F668" s="113"/>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2"/>
      <c r="C669" s="113"/>
      <c r="D669" s="113"/>
      <c r="E669" s="113"/>
      <c r="F669" s="113"/>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2"/>
      <c r="C670" s="113"/>
      <c r="D670" s="113"/>
      <c r="E670" s="113"/>
      <c r="F670" s="113"/>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2"/>
      <c r="C671" s="113"/>
      <c r="D671" s="113"/>
      <c r="E671" s="113"/>
      <c r="F671" s="113"/>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2"/>
      <c r="C672" s="113"/>
      <c r="D672" s="113"/>
      <c r="E672" s="113"/>
      <c r="F672" s="113"/>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2"/>
      <c r="C673" s="113"/>
      <c r="D673" s="113"/>
      <c r="E673" s="113"/>
      <c r="F673" s="113"/>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2"/>
      <c r="C674" s="113"/>
      <c r="D674" s="113"/>
      <c r="E674" s="113"/>
      <c r="F674" s="113"/>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2"/>
      <c r="C675" s="113"/>
      <c r="D675" s="113"/>
      <c r="E675" s="113"/>
      <c r="F675" s="113"/>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2"/>
      <c r="C676" s="113"/>
      <c r="D676" s="113"/>
      <c r="E676" s="113"/>
      <c r="F676" s="113"/>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2"/>
      <c r="C677" s="113"/>
      <c r="D677" s="113"/>
      <c r="E677" s="113"/>
      <c r="F677" s="113"/>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2"/>
      <c r="C678" s="113"/>
      <c r="D678" s="113"/>
      <c r="E678" s="113"/>
      <c r="F678" s="113"/>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2"/>
      <c r="C679" s="113"/>
      <c r="D679" s="113"/>
      <c r="E679" s="113"/>
      <c r="F679" s="113"/>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2"/>
      <c r="C680" s="113"/>
      <c r="D680" s="113"/>
      <c r="E680" s="113"/>
      <c r="F680" s="113"/>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2"/>
      <c r="C681" s="113"/>
      <c r="D681" s="113"/>
      <c r="E681" s="113"/>
      <c r="F681" s="113"/>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2"/>
      <c r="C682" s="113"/>
      <c r="D682" s="113"/>
      <c r="E682" s="113"/>
      <c r="F682" s="113"/>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2"/>
      <c r="C683" s="113"/>
      <c r="D683" s="113"/>
      <c r="E683" s="113"/>
      <c r="F683" s="113"/>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2"/>
      <c r="C684" s="113"/>
      <c r="D684" s="113"/>
      <c r="E684" s="113"/>
      <c r="F684" s="113"/>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2"/>
      <c r="C685" s="113"/>
      <c r="D685" s="113"/>
      <c r="E685" s="113"/>
      <c r="F685" s="113"/>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2"/>
      <c r="C686" s="113"/>
      <c r="D686" s="113"/>
      <c r="E686" s="113"/>
      <c r="F686" s="113"/>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2"/>
      <c r="C687" s="113"/>
      <c r="D687" s="113"/>
      <c r="E687" s="113"/>
      <c r="F687" s="113"/>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2"/>
      <c r="C688" s="113"/>
      <c r="D688" s="113"/>
      <c r="E688" s="113"/>
      <c r="F688" s="113"/>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2"/>
      <c r="C689" s="113"/>
      <c r="D689" s="113"/>
      <c r="E689" s="113"/>
      <c r="F689" s="113"/>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2"/>
      <c r="C690" s="113"/>
      <c r="D690" s="113"/>
      <c r="E690" s="113"/>
      <c r="F690" s="113"/>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2"/>
      <c r="C691" s="113"/>
      <c r="D691" s="113"/>
      <c r="E691" s="113"/>
      <c r="F691" s="113"/>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2"/>
      <c r="C692" s="113"/>
      <c r="D692" s="113"/>
      <c r="E692" s="113"/>
      <c r="F692" s="113"/>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2"/>
      <c r="C693" s="113"/>
      <c r="D693" s="113"/>
      <c r="E693" s="113"/>
      <c r="F693" s="113"/>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2"/>
      <c r="C694" s="113"/>
      <c r="D694" s="113"/>
      <c r="E694" s="113"/>
      <c r="F694" s="113"/>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2"/>
      <c r="C695" s="113"/>
      <c r="D695" s="113"/>
      <c r="E695" s="113"/>
      <c r="F695" s="113"/>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2"/>
      <c r="C696" s="113"/>
      <c r="D696" s="113"/>
      <c r="E696" s="113"/>
      <c r="F696" s="113"/>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2"/>
      <c r="C697" s="113"/>
      <c r="D697" s="113"/>
      <c r="E697" s="113"/>
      <c r="F697" s="113"/>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2"/>
      <c r="C698" s="113"/>
      <c r="D698" s="113"/>
      <c r="E698" s="113"/>
      <c r="F698" s="113"/>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2"/>
      <c r="C699" s="113"/>
      <c r="D699" s="113"/>
      <c r="E699" s="113"/>
      <c r="F699" s="113"/>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2"/>
      <c r="C700" s="113"/>
      <c r="D700" s="113"/>
      <c r="E700" s="113"/>
      <c r="F700" s="113"/>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2"/>
      <c r="C701" s="113"/>
      <c r="D701" s="113"/>
      <c r="E701" s="113"/>
      <c r="F701" s="113"/>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2"/>
      <c r="C702" s="113"/>
      <c r="D702" s="113"/>
      <c r="E702" s="113"/>
      <c r="F702" s="113"/>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2"/>
      <c r="C703" s="113"/>
      <c r="D703" s="113"/>
      <c r="E703" s="113"/>
      <c r="F703" s="113"/>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2"/>
      <c r="C704" s="113"/>
      <c r="D704" s="113"/>
      <c r="E704" s="113"/>
      <c r="F704" s="113"/>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2"/>
      <c r="C705" s="113"/>
      <c r="D705" s="113"/>
      <c r="E705" s="113"/>
      <c r="F705" s="113"/>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2"/>
      <c r="C706" s="113"/>
      <c r="D706" s="113"/>
      <c r="E706" s="113"/>
      <c r="F706" s="113"/>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2"/>
      <c r="C707" s="113"/>
      <c r="D707" s="113"/>
      <c r="E707" s="113"/>
      <c r="F707" s="113"/>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2"/>
      <c r="C708" s="113"/>
      <c r="D708" s="113"/>
      <c r="E708" s="113"/>
      <c r="F708" s="113"/>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2"/>
      <c r="C709" s="113"/>
      <c r="D709" s="113"/>
      <c r="E709" s="113"/>
      <c r="F709" s="113"/>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2"/>
      <c r="C710" s="113"/>
      <c r="D710" s="113"/>
      <c r="E710" s="113"/>
      <c r="F710" s="113"/>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2"/>
      <c r="C711" s="113"/>
      <c r="D711" s="113"/>
      <c r="E711" s="113"/>
      <c r="F711" s="113"/>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2"/>
      <c r="C712" s="113"/>
      <c r="D712" s="113"/>
      <c r="E712" s="113"/>
      <c r="F712" s="113"/>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2"/>
      <c r="C713" s="113"/>
      <c r="D713" s="113"/>
      <c r="E713" s="113"/>
      <c r="F713" s="113"/>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2"/>
      <c r="C714" s="113"/>
      <c r="D714" s="113"/>
      <c r="E714" s="113"/>
      <c r="F714" s="113"/>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2"/>
      <c r="C715" s="113"/>
      <c r="D715" s="113"/>
      <c r="E715" s="113"/>
      <c r="F715" s="113"/>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2"/>
      <c r="C716" s="113"/>
      <c r="D716" s="113"/>
      <c r="E716" s="113"/>
      <c r="F716" s="113"/>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2"/>
      <c r="C717" s="113"/>
      <c r="D717" s="113"/>
      <c r="E717" s="113"/>
      <c r="F717" s="113"/>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2"/>
      <c r="C718" s="113"/>
      <c r="D718" s="113"/>
      <c r="E718" s="113"/>
      <c r="F718" s="113"/>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2"/>
      <c r="C719" s="113"/>
      <c r="D719" s="113"/>
      <c r="E719" s="113"/>
      <c r="F719" s="113"/>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2"/>
      <c r="C720" s="113"/>
      <c r="D720" s="113"/>
      <c r="E720" s="113"/>
      <c r="F720" s="113"/>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2"/>
      <c r="C721" s="113"/>
      <c r="D721" s="113"/>
      <c r="E721" s="113"/>
      <c r="F721" s="113"/>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2"/>
      <c r="C722" s="113"/>
      <c r="D722" s="113"/>
      <c r="E722" s="113"/>
      <c r="F722" s="113"/>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2"/>
      <c r="C723" s="113"/>
      <c r="D723" s="113"/>
      <c r="E723" s="113"/>
      <c r="F723" s="113"/>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2"/>
      <c r="C724" s="113"/>
      <c r="D724" s="113"/>
      <c r="E724" s="113"/>
      <c r="F724" s="113"/>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2"/>
      <c r="C725" s="113"/>
      <c r="D725" s="113"/>
      <c r="E725" s="113"/>
      <c r="F725" s="113"/>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2"/>
      <c r="C726" s="113"/>
      <c r="D726" s="113"/>
      <c r="E726" s="113"/>
      <c r="F726" s="113"/>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2"/>
      <c r="C727" s="113"/>
      <c r="D727" s="113"/>
      <c r="E727" s="113"/>
      <c r="F727" s="113"/>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2"/>
      <c r="C728" s="113"/>
      <c r="D728" s="113"/>
      <c r="E728" s="113"/>
      <c r="F728" s="113"/>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2"/>
      <c r="C729" s="113"/>
      <c r="D729" s="113"/>
      <c r="E729" s="113"/>
      <c r="F729" s="113"/>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2"/>
      <c r="C730" s="113"/>
      <c r="D730" s="113"/>
      <c r="E730" s="113"/>
      <c r="F730" s="113"/>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2"/>
      <c r="C731" s="113"/>
      <c r="D731" s="113"/>
      <c r="E731" s="113"/>
      <c r="F731" s="113"/>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2"/>
      <c r="C732" s="113"/>
      <c r="D732" s="113"/>
      <c r="E732" s="113"/>
      <c r="F732" s="113"/>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2"/>
      <c r="C733" s="113"/>
      <c r="D733" s="113"/>
      <c r="E733" s="113"/>
      <c r="F733" s="113"/>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2"/>
      <c r="C734" s="113"/>
      <c r="D734" s="113"/>
      <c r="E734" s="113"/>
      <c r="F734" s="113"/>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2"/>
      <c r="C735" s="113"/>
      <c r="D735" s="113"/>
      <c r="E735" s="113"/>
      <c r="F735" s="113"/>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2"/>
      <c r="C736" s="113"/>
      <c r="D736" s="113"/>
      <c r="E736" s="113"/>
      <c r="F736" s="113"/>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2"/>
      <c r="C737" s="113"/>
      <c r="D737" s="113"/>
      <c r="E737" s="113"/>
      <c r="F737" s="113"/>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2"/>
      <c r="C738" s="113"/>
      <c r="D738" s="113"/>
      <c r="E738" s="113"/>
      <c r="F738" s="113"/>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2"/>
      <c r="C739" s="113"/>
      <c r="D739" s="113"/>
      <c r="E739" s="113"/>
      <c r="F739" s="113"/>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2"/>
      <c r="C740" s="113"/>
      <c r="D740" s="113"/>
      <c r="E740" s="113"/>
      <c r="F740" s="113"/>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2"/>
      <c r="C741" s="113"/>
      <c r="D741" s="113"/>
      <c r="E741" s="113"/>
      <c r="F741" s="113"/>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2"/>
      <c r="C742" s="113"/>
      <c r="D742" s="113"/>
      <c r="E742" s="113"/>
      <c r="F742" s="113"/>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2"/>
      <c r="C743" s="113"/>
      <c r="D743" s="113"/>
      <c r="E743" s="113"/>
      <c r="F743" s="113"/>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2"/>
      <c r="C744" s="113"/>
      <c r="D744" s="113"/>
      <c r="E744" s="113"/>
      <c r="F744" s="113"/>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2"/>
      <c r="C745" s="113"/>
      <c r="D745" s="113"/>
      <c r="E745" s="113"/>
      <c r="F745" s="113"/>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2"/>
      <c r="C746" s="113"/>
      <c r="D746" s="113"/>
      <c r="E746" s="113"/>
      <c r="F746" s="113"/>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2"/>
      <c r="C747" s="113"/>
      <c r="D747" s="113"/>
      <c r="E747" s="113"/>
      <c r="F747" s="113"/>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2"/>
      <c r="C748" s="113"/>
      <c r="D748" s="113"/>
      <c r="E748" s="113"/>
      <c r="F748" s="113"/>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2"/>
      <c r="C749" s="113"/>
      <c r="D749" s="113"/>
      <c r="E749" s="113"/>
      <c r="F749" s="113"/>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2"/>
      <c r="C750" s="113"/>
      <c r="D750" s="113"/>
      <c r="E750" s="113"/>
      <c r="F750" s="113"/>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2"/>
      <c r="C751" s="113"/>
      <c r="D751" s="113"/>
      <c r="E751" s="113"/>
      <c r="F751" s="113"/>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2"/>
      <c r="C752" s="113"/>
      <c r="D752" s="113"/>
      <c r="E752" s="113"/>
      <c r="F752" s="113"/>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2"/>
      <c r="C753" s="113"/>
      <c r="D753" s="113"/>
      <c r="E753" s="113"/>
      <c r="F753" s="113"/>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2"/>
      <c r="C754" s="113"/>
      <c r="D754" s="113"/>
      <c r="E754" s="113"/>
      <c r="F754" s="113"/>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2"/>
      <c r="C755" s="113"/>
      <c r="D755" s="113"/>
      <c r="E755" s="113"/>
      <c r="F755" s="113"/>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2"/>
      <c r="C756" s="113"/>
      <c r="D756" s="113"/>
      <c r="E756" s="113"/>
      <c r="F756" s="113"/>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2"/>
      <c r="C757" s="113"/>
      <c r="D757" s="113"/>
      <c r="E757" s="113"/>
      <c r="F757" s="113"/>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2"/>
      <c r="C758" s="113"/>
      <c r="D758" s="113"/>
      <c r="E758" s="113"/>
      <c r="F758" s="113"/>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2"/>
      <c r="C759" s="113"/>
      <c r="D759" s="113"/>
      <c r="E759" s="113"/>
      <c r="F759" s="113"/>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2"/>
      <c r="C760" s="113"/>
      <c r="D760" s="113"/>
      <c r="E760" s="113"/>
      <c r="F760" s="113"/>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2"/>
      <c r="C761" s="113"/>
      <c r="D761" s="113"/>
      <c r="E761" s="113"/>
      <c r="F761" s="113"/>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2"/>
      <c r="C762" s="113"/>
      <c r="D762" s="113"/>
      <c r="E762" s="113"/>
      <c r="F762" s="113"/>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2"/>
      <c r="C763" s="113"/>
      <c r="D763" s="113"/>
      <c r="E763" s="113"/>
      <c r="F763" s="113"/>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2"/>
      <c r="C764" s="113"/>
      <c r="D764" s="113"/>
      <c r="E764" s="113"/>
      <c r="F764" s="113"/>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2"/>
      <c r="C765" s="113"/>
      <c r="D765" s="113"/>
      <c r="E765" s="113"/>
      <c r="F765" s="113"/>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2"/>
      <c r="C766" s="113"/>
      <c r="D766" s="113"/>
      <c r="E766" s="113"/>
      <c r="F766" s="113"/>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2"/>
      <c r="C767" s="113"/>
      <c r="D767" s="113"/>
      <c r="E767" s="113"/>
      <c r="F767" s="113"/>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2"/>
      <c r="C768" s="113"/>
      <c r="D768" s="113"/>
      <c r="E768" s="113"/>
      <c r="F768" s="113"/>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2"/>
      <c r="C769" s="113"/>
      <c r="D769" s="113"/>
      <c r="E769" s="113"/>
      <c r="F769" s="113"/>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2"/>
      <c r="C770" s="113"/>
      <c r="D770" s="113"/>
      <c r="E770" s="113"/>
      <c r="F770" s="113"/>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2"/>
      <c r="C771" s="113"/>
      <c r="D771" s="113"/>
      <c r="E771" s="113"/>
      <c r="F771" s="113"/>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2"/>
      <c r="C772" s="113"/>
      <c r="D772" s="113"/>
      <c r="E772" s="113"/>
      <c r="F772" s="113"/>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2"/>
      <c r="C773" s="113"/>
      <c r="D773" s="113"/>
      <c r="E773" s="113"/>
      <c r="F773" s="113"/>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2"/>
      <c r="C774" s="113"/>
      <c r="D774" s="113"/>
      <c r="E774" s="113"/>
      <c r="F774" s="113"/>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2"/>
      <c r="C775" s="113"/>
      <c r="D775" s="113"/>
      <c r="E775" s="113"/>
      <c r="F775" s="113"/>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2"/>
      <c r="C776" s="113"/>
      <c r="D776" s="113"/>
      <c r="E776" s="113"/>
      <c r="F776" s="113"/>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2"/>
      <c r="C777" s="113"/>
      <c r="D777" s="113"/>
      <c r="E777" s="113"/>
      <c r="F777" s="113"/>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2"/>
      <c r="C778" s="113"/>
      <c r="D778" s="113"/>
      <c r="E778" s="113"/>
      <c r="F778" s="113"/>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2"/>
      <c r="C779" s="113"/>
      <c r="D779" s="113"/>
      <c r="E779" s="113"/>
      <c r="F779" s="113"/>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2"/>
      <c r="C780" s="113"/>
      <c r="D780" s="113"/>
      <c r="E780" s="113"/>
      <c r="F780" s="113"/>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2"/>
      <c r="C781" s="113"/>
      <c r="D781" s="113"/>
      <c r="E781" s="113"/>
      <c r="F781" s="113"/>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2"/>
      <c r="C782" s="113"/>
      <c r="D782" s="113"/>
      <c r="E782" s="113"/>
      <c r="F782" s="113"/>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2"/>
      <c r="C783" s="113"/>
      <c r="D783" s="113"/>
      <c r="E783" s="113"/>
      <c r="F783" s="113"/>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2"/>
      <c r="C784" s="113"/>
      <c r="D784" s="113"/>
      <c r="E784" s="113"/>
      <c r="F784" s="113"/>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2"/>
      <c r="C785" s="113"/>
      <c r="D785" s="113"/>
      <c r="E785" s="113"/>
      <c r="F785" s="113"/>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2"/>
      <c r="C786" s="113"/>
      <c r="D786" s="113"/>
      <c r="E786" s="113"/>
      <c r="F786" s="113"/>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2"/>
      <c r="C787" s="113"/>
      <c r="D787" s="113"/>
      <c r="E787" s="113"/>
      <c r="F787" s="113"/>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2"/>
      <c r="C788" s="113"/>
      <c r="D788" s="113"/>
      <c r="E788" s="113"/>
      <c r="F788" s="113"/>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2"/>
      <c r="C789" s="113"/>
      <c r="D789" s="113"/>
      <c r="E789" s="113"/>
      <c r="F789" s="113"/>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2"/>
      <c r="C790" s="113"/>
      <c r="D790" s="113"/>
      <c r="E790" s="113"/>
      <c r="F790" s="113"/>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2"/>
      <c r="C791" s="113"/>
      <c r="D791" s="113"/>
      <c r="E791" s="113"/>
      <c r="F791" s="113"/>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2"/>
      <c r="C792" s="113"/>
      <c r="D792" s="113"/>
      <c r="E792" s="113"/>
      <c r="F792" s="113"/>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2"/>
      <c r="C793" s="113"/>
      <c r="D793" s="113"/>
      <c r="E793" s="113"/>
      <c r="F793" s="113"/>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2"/>
      <c r="C794" s="113"/>
      <c r="D794" s="113"/>
      <c r="E794" s="113"/>
      <c r="F794" s="113"/>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2"/>
      <c r="C795" s="113"/>
      <c r="D795" s="113"/>
      <c r="E795" s="113"/>
      <c r="F795" s="113"/>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2"/>
      <c r="C796" s="113"/>
      <c r="D796" s="113"/>
      <c r="E796" s="113"/>
      <c r="F796" s="113"/>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2"/>
      <c r="C797" s="113"/>
      <c r="D797" s="113"/>
      <c r="E797" s="113"/>
      <c r="F797" s="113"/>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2"/>
      <c r="C798" s="113"/>
      <c r="D798" s="113"/>
      <c r="E798" s="113"/>
      <c r="F798" s="113"/>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2"/>
      <c r="C799" s="113"/>
      <c r="D799" s="113"/>
      <c r="E799" s="113"/>
      <c r="F799" s="113"/>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2"/>
      <c r="C800" s="113"/>
      <c r="D800" s="113"/>
      <c r="E800" s="113"/>
      <c r="F800" s="113"/>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2"/>
      <c r="C801" s="113"/>
      <c r="D801" s="113"/>
      <c r="E801" s="113"/>
      <c r="F801" s="113"/>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2"/>
      <c r="C802" s="113"/>
      <c r="D802" s="113"/>
      <c r="E802" s="113"/>
      <c r="F802" s="113"/>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2"/>
      <c r="C803" s="113"/>
      <c r="D803" s="113"/>
      <c r="E803" s="113"/>
      <c r="F803" s="113"/>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2"/>
      <c r="C804" s="113"/>
      <c r="D804" s="113"/>
      <c r="E804" s="113"/>
      <c r="F804" s="113"/>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2"/>
      <c r="C805" s="113"/>
      <c r="D805" s="113"/>
      <c r="E805" s="113"/>
      <c r="F805" s="113"/>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2"/>
      <c r="C806" s="113"/>
      <c r="D806" s="113"/>
      <c r="E806" s="113"/>
      <c r="F806" s="113"/>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2"/>
      <c r="C807" s="113"/>
      <c r="D807" s="113"/>
      <c r="E807" s="113"/>
      <c r="F807" s="113"/>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2"/>
      <c r="C808" s="113"/>
      <c r="D808" s="113"/>
      <c r="E808" s="113"/>
      <c r="F808" s="113"/>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2"/>
      <c r="C809" s="113"/>
      <c r="D809" s="113"/>
      <c r="E809" s="113"/>
      <c r="F809" s="113"/>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2"/>
      <c r="C810" s="113"/>
      <c r="D810" s="113"/>
      <c r="E810" s="113"/>
      <c r="F810" s="113"/>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2"/>
      <c r="C811" s="113"/>
      <c r="D811" s="113"/>
      <c r="E811" s="113"/>
      <c r="F811" s="113"/>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2"/>
      <c r="C812" s="113"/>
      <c r="D812" s="113"/>
      <c r="E812" s="113"/>
      <c r="F812" s="113"/>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2"/>
      <c r="C813" s="113"/>
      <c r="D813" s="113"/>
      <c r="E813" s="113"/>
      <c r="F813" s="113"/>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2"/>
      <c r="C814" s="113"/>
      <c r="D814" s="113"/>
      <c r="E814" s="113"/>
      <c r="F814" s="113"/>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2"/>
      <c r="C815" s="113"/>
      <c r="D815" s="113"/>
      <c r="E815" s="113"/>
      <c r="F815" s="113"/>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2"/>
      <c r="C816" s="113"/>
      <c r="D816" s="113"/>
      <c r="E816" s="113"/>
      <c r="F816" s="113"/>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2"/>
      <c r="C817" s="113"/>
      <c r="D817" s="113"/>
      <c r="E817" s="113"/>
      <c r="F817" s="113"/>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2"/>
      <c r="C818" s="113"/>
      <c r="D818" s="113"/>
      <c r="E818" s="113"/>
      <c r="F818" s="113"/>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2"/>
      <c r="C819" s="113"/>
      <c r="D819" s="113"/>
      <c r="E819" s="113"/>
      <c r="F819" s="113"/>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2"/>
      <c r="C820" s="113"/>
      <c r="D820" s="113"/>
      <c r="E820" s="113"/>
      <c r="F820" s="113"/>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2"/>
      <c r="C821" s="113"/>
      <c r="D821" s="113"/>
      <c r="E821" s="113"/>
      <c r="F821" s="113"/>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2"/>
      <c r="C822" s="113"/>
      <c r="D822" s="113"/>
      <c r="E822" s="113"/>
      <c r="F822" s="113"/>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2"/>
      <c r="C823" s="113"/>
      <c r="D823" s="113"/>
      <c r="E823" s="113"/>
      <c r="F823" s="113"/>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2"/>
      <c r="C824" s="113"/>
      <c r="D824" s="113"/>
      <c r="E824" s="113"/>
      <c r="F824" s="113"/>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2"/>
      <c r="C825" s="113"/>
      <c r="D825" s="113"/>
      <c r="E825" s="113"/>
      <c r="F825" s="113"/>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2"/>
      <c r="C826" s="113"/>
      <c r="D826" s="113"/>
      <c r="E826" s="113"/>
      <c r="F826" s="113"/>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2"/>
      <c r="C827" s="113"/>
      <c r="D827" s="113"/>
      <c r="E827" s="113"/>
      <c r="F827" s="113"/>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2"/>
      <c r="C828" s="113"/>
      <c r="D828" s="113"/>
      <c r="E828" s="113"/>
      <c r="F828" s="113"/>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2"/>
      <c r="C829" s="113"/>
      <c r="D829" s="113"/>
      <c r="E829" s="113"/>
      <c r="F829" s="113"/>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2"/>
      <c r="C830" s="113"/>
      <c r="D830" s="113"/>
      <c r="E830" s="113"/>
      <c r="F830" s="113"/>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2"/>
      <c r="C831" s="113"/>
      <c r="D831" s="113"/>
      <c r="E831" s="113"/>
      <c r="F831" s="113"/>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2"/>
      <c r="C832" s="113"/>
      <c r="D832" s="113"/>
      <c r="E832" s="113"/>
      <c r="F832" s="113"/>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2"/>
      <c r="C833" s="113"/>
      <c r="D833" s="113"/>
      <c r="E833" s="113"/>
      <c r="F833" s="113"/>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2"/>
      <c r="C834" s="113"/>
      <c r="D834" s="113"/>
      <c r="E834" s="113"/>
      <c r="F834" s="113"/>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2"/>
      <c r="C835" s="113"/>
      <c r="D835" s="113"/>
      <c r="E835" s="113"/>
      <c r="F835" s="113"/>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2"/>
      <c r="C836" s="113"/>
      <c r="D836" s="113"/>
      <c r="E836" s="113"/>
      <c r="F836" s="113"/>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2"/>
      <c r="C837" s="113"/>
      <c r="D837" s="113"/>
      <c r="E837" s="113"/>
      <c r="F837" s="113"/>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2"/>
      <c r="C838" s="113"/>
      <c r="D838" s="113"/>
      <c r="E838" s="113"/>
      <c r="F838" s="113"/>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2"/>
      <c r="C839" s="113"/>
      <c r="D839" s="113"/>
      <c r="E839" s="113"/>
      <c r="F839" s="113"/>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2"/>
      <c r="C840" s="113"/>
      <c r="D840" s="113"/>
      <c r="E840" s="113"/>
      <c r="F840" s="113"/>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2"/>
      <c r="C841" s="113"/>
      <c r="D841" s="113"/>
      <c r="E841" s="113"/>
      <c r="F841" s="113"/>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2"/>
      <c r="C842" s="113"/>
      <c r="D842" s="113"/>
      <c r="E842" s="113"/>
      <c r="F842" s="113"/>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2"/>
      <c r="C843" s="113"/>
      <c r="D843" s="113"/>
      <c r="E843" s="113"/>
      <c r="F843" s="113"/>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2"/>
      <c r="C844" s="113"/>
      <c r="D844" s="113"/>
      <c r="E844" s="113"/>
      <c r="F844" s="113"/>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2"/>
      <c r="C845" s="113"/>
      <c r="D845" s="113"/>
      <c r="E845" s="113"/>
      <c r="F845" s="113"/>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2"/>
      <c r="C846" s="113"/>
      <c r="D846" s="113"/>
      <c r="E846" s="113"/>
      <c r="F846" s="113"/>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2"/>
      <c r="C847" s="113"/>
      <c r="D847" s="113"/>
      <c r="E847" s="113"/>
      <c r="F847" s="113"/>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2"/>
      <c r="C848" s="113"/>
      <c r="D848" s="113"/>
      <c r="E848" s="113"/>
      <c r="F848" s="113"/>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2"/>
      <c r="C849" s="113"/>
      <c r="D849" s="113"/>
      <c r="E849" s="113"/>
      <c r="F849" s="113"/>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2"/>
      <c r="C850" s="113"/>
      <c r="D850" s="113"/>
      <c r="E850" s="113"/>
      <c r="F850" s="113"/>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2"/>
      <c r="C851" s="113"/>
      <c r="D851" s="113"/>
      <c r="E851" s="113"/>
      <c r="F851" s="113"/>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2"/>
      <c r="C852" s="113"/>
      <c r="D852" s="113"/>
      <c r="E852" s="113"/>
      <c r="F852" s="113"/>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2"/>
      <c r="C853" s="113"/>
      <c r="D853" s="113"/>
      <c r="E853" s="113"/>
      <c r="F853" s="113"/>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2"/>
      <c r="C854" s="113"/>
      <c r="D854" s="113"/>
      <c r="E854" s="113"/>
      <c r="F854" s="113"/>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2"/>
      <c r="C855" s="113"/>
      <c r="D855" s="113"/>
      <c r="E855" s="113"/>
      <c r="F855" s="113"/>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2"/>
      <c r="C856" s="113"/>
      <c r="D856" s="113"/>
      <c r="E856" s="113"/>
      <c r="F856" s="113"/>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2"/>
      <c r="C857" s="113"/>
      <c r="D857" s="113"/>
      <c r="E857" s="113"/>
      <c r="F857" s="113"/>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2"/>
      <c r="C858" s="113"/>
      <c r="D858" s="113"/>
      <c r="E858" s="113"/>
      <c r="F858" s="113"/>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2"/>
      <c r="C859" s="113"/>
      <c r="D859" s="113"/>
      <c r="E859" s="113"/>
      <c r="F859" s="113"/>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2"/>
      <c r="C860" s="113"/>
      <c r="D860" s="113"/>
      <c r="E860" s="113"/>
      <c r="F860" s="113"/>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2"/>
      <c r="C861" s="113"/>
      <c r="D861" s="113"/>
      <c r="E861" s="113"/>
      <c r="F861" s="113"/>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2"/>
      <c r="C862" s="113"/>
      <c r="D862" s="113"/>
      <c r="E862" s="113"/>
      <c r="F862" s="113"/>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2"/>
      <c r="C863" s="113"/>
      <c r="D863" s="113"/>
      <c r="E863" s="113"/>
      <c r="F863" s="113"/>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2"/>
      <c r="C864" s="113"/>
      <c r="D864" s="113"/>
      <c r="E864" s="113"/>
      <c r="F864" s="113"/>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2"/>
      <c r="C865" s="113"/>
      <c r="D865" s="113"/>
      <c r="E865" s="113"/>
      <c r="F865" s="113"/>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2"/>
      <c r="C866" s="113"/>
      <c r="D866" s="113"/>
      <c r="E866" s="113"/>
      <c r="F866" s="113"/>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2"/>
      <c r="C867" s="113"/>
      <c r="D867" s="113"/>
      <c r="E867" s="113"/>
      <c r="F867" s="113"/>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2"/>
      <c r="C868" s="113"/>
      <c r="D868" s="113"/>
      <c r="E868" s="113"/>
      <c r="F868" s="113"/>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2"/>
      <c r="C869" s="113"/>
      <c r="D869" s="113"/>
      <c r="E869" s="113"/>
      <c r="F869" s="113"/>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2"/>
      <c r="C870" s="113"/>
      <c r="D870" s="113"/>
      <c r="E870" s="113"/>
      <c r="F870" s="113"/>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2"/>
      <c r="C871" s="113"/>
      <c r="D871" s="113"/>
      <c r="E871" s="113"/>
      <c r="F871" s="113"/>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2"/>
      <c r="C872" s="113"/>
      <c r="D872" s="113"/>
      <c r="E872" s="113"/>
      <c r="F872" s="113"/>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2"/>
      <c r="C873" s="113"/>
      <c r="D873" s="113"/>
      <c r="E873" s="113"/>
      <c r="F873" s="113"/>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2"/>
      <c r="C874" s="113"/>
      <c r="D874" s="113"/>
      <c r="E874" s="113"/>
      <c r="F874" s="113"/>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2"/>
      <c r="C875" s="113"/>
      <c r="D875" s="113"/>
      <c r="E875" s="113"/>
      <c r="F875" s="113"/>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2"/>
      <c r="C876" s="113"/>
      <c r="D876" s="113"/>
      <c r="E876" s="113"/>
      <c r="F876" s="113"/>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2"/>
      <c r="C877" s="113"/>
      <c r="D877" s="113"/>
      <c r="E877" s="113"/>
      <c r="F877" s="113"/>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2"/>
      <c r="C878" s="113"/>
      <c r="D878" s="113"/>
      <c r="E878" s="113"/>
      <c r="F878" s="113"/>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2"/>
      <c r="C879" s="113"/>
      <c r="D879" s="113"/>
      <c r="E879" s="113"/>
      <c r="F879" s="113"/>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2"/>
      <c r="C880" s="113"/>
      <c r="D880" s="113"/>
      <c r="E880" s="113"/>
      <c r="F880" s="113"/>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2"/>
      <c r="C881" s="113"/>
      <c r="D881" s="113"/>
      <c r="E881" s="113"/>
      <c r="F881" s="113"/>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2"/>
      <c r="C882" s="113"/>
      <c r="D882" s="113"/>
      <c r="E882" s="113"/>
      <c r="F882" s="113"/>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2"/>
      <c r="C883" s="113"/>
      <c r="D883" s="113"/>
      <c r="E883" s="113"/>
      <c r="F883" s="113"/>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2"/>
      <c r="C884" s="113"/>
      <c r="D884" s="113"/>
      <c r="E884" s="113"/>
      <c r="F884" s="113"/>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2"/>
      <c r="C885" s="113"/>
      <c r="D885" s="113"/>
      <c r="E885" s="113"/>
      <c r="F885" s="113"/>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2"/>
      <c r="C886" s="113"/>
      <c r="D886" s="113"/>
      <c r="E886" s="113"/>
      <c r="F886" s="113"/>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2"/>
      <c r="C887" s="113"/>
      <c r="D887" s="113"/>
      <c r="E887" s="113"/>
      <c r="F887" s="113"/>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2"/>
      <c r="C888" s="113"/>
      <c r="D888" s="113"/>
      <c r="E888" s="113"/>
      <c r="F888" s="113"/>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2"/>
      <c r="C889" s="113"/>
      <c r="D889" s="113"/>
      <c r="E889" s="113"/>
      <c r="F889" s="113"/>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2"/>
      <c r="C890" s="113"/>
      <c r="D890" s="113"/>
      <c r="E890" s="113"/>
      <c r="F890" s="113"/>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2"/>
      <c r="C891" s="113"/>
      <c r="D891" s="113"/>
      <c r="E891" s="113"/>
      <c r="F891" s="113"/>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2"/>
      <c r="C892" s="113"/>
      <c r="D892" s="113"/>
      <c r="E892" s="113"/>
      <c r="F892" s="113"/>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2"/>
      <c r="C893" s="113"/>
      <c r="D893" s="113"/>
      <c r="E893" s="113"/>
      <c r="F893" s="113"/>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2"/>
      <c r="C894" s="113"/>
      <c r="D894" s="113"/>
      <c r="E894" s="113"/>
      <c r="F894" s="113"/>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2"/>
      <c r="C895" s="113"/>
      <c r="D895" s="113"/>
      <c r="E895" s="113"/>
      <c r="F895" s="113"/>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2"/>
      <c r="C896" s="113"/>
      <c r="D896" s="113"/>
      <c r="E896" s="113"/>
      <c r="F896" s="113"/>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2"/>
      <c r="C897" s="113"/>
      <c r="D897" s="113"/>
      <c r="E897" s="113"/>
      <c r="F897" s="113"/>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2"/>
      <c r="C898" s="113"/>
      <c r="D898" s="113"/>
      <c r="E898" s="113"/>
      <c r="F898" s="113"/>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2"/>
      <c r="C899" s="113"/>
      <c r="D899" s="113"/>
      <c r="E899" s="113"/>
      <c r="F899" s="113"/>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2"/>
      <c r="C900" s="113"/>
      <c r="D900" s="113"/>
      <c r="E900" s="113"/>
      <c r="F900" s="113"/>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2"/>
      <c r="C901" s="113"/>
      <c r="D901" s="113"/>
      <c r="E901" s="113"/>
      <c r="F901" s="113"/>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2"/>
      <c r="C902" s="113"/>
      <c r="D902" s="113"/>
      <c r="E902" s="113"/>
      <c r="F902" s="113"/>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2"/>
      <c r="C903" s="113"/>
      <c r="D903" s="113"/>
      <c r="E903" s="113"/>
      <c r="F903" s="113"/>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2"/>
      <c r="C904" s="113"/>
      <c r="D904" s="113"/>
      <c r="E904" s="113"/>
      <c r="F904" s="113"/>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2"/>
      <c r="C905" s="113"/>
      <c r="D905" s="113"/>
      <c r="E905" s="113"/>
      <c r="F905" s="113"/>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2"/>
      <c r="C906" s="113"/>
      <c r="D906" s="113"/>
      <c r="E906" s="113"/>
      <c r="F906" s="113"/>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2"/>
      <c r="C907" s="113"/>
      <c r="D907" s="113"/>
      <c r="E907" s="113"/>
      <c r="F907" s="113"/>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2"/>
      <c r="C908" s="113"/>
      <c r="D908" s="113"/>
      <c r="E908" s="113"/>
      <c r="F908" s="113"/>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2"/>
      <c r="C909" s="113"/>
      <c r="D909" s="113"/>
      <c r="E909" s="113"/>
      <c r="F909" s="113"/>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2"/>
      <c r="C910" s="113"/>
      <c r="D910" s="113"/>
      <c r="E910" s="113"/>
      <c r="F910" s="113"/>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2"/>
      <c r="C911" s="113"/>
      <c r="D911" s="113"/>
      <c r="E911" s="113"/>
      <c r="F911" s="113"/>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2"/>
      <c r="C912" s="113"/>
      <c r="D912" s="113"/>
      <c r="E912" s="113"/>
      <c r="F912" s="113"/>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2"/>
      <c r="C913" s="113"/>
      <c r="D913" s="113"/>
      <c r="E913" s="113"/>
      <c r="F913" s="113"/>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2"/>
      <c r="C914" s="113"/>
      <c r="D914" s="113"/>
      <c r="E914" s="113"/>
      <c r="F914" s="113"/>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2"/>
      <c r="C915" s="113"/>
      <c r="D915" s="113"/>
      <c r="E915" s="113"/>
      <c r="F915" s="113"/>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2"/>
      <c r="C916" s="113"/>
      <c r="D916" s="113"/>
      <c r="E916" s="113"/>
      <c r="F916" s="113"/>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2"/>
      <c r="C917" s="113"/>
      <c r="D917" s="113"/>
      <c r="E917" s="113"/>
      <c r="F917" s="113"/>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2"/>
      <c r="C918" s="113"/>
      <c r="D918" s="113"/>
      <c r="E918" s="113"/>
      <c r="F918" s="113"/>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2"/>
      <c r="C919" s="113"/>
      <c r="D919" s="113"/>
      <c r="E919" s="113"/>
      <c r="F919" s="113"/>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2"/>
      <c r="C920" s="113"/>
      <c r="D920" s="113"/>
      <c r="E920" s="113"/>
      <c r="F920" s="113"/>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2"/>
      <c r="C921" s="113"/>
      <c r="D921" s="113"/>
      <c r="E921" s="113"/>
      <c r="F921" s="113"/>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2"/>
      <c r="C922" s="113"/>
      <c r="D922" s="113"/>
      <c r="E922" s="113"/>
      <c r="F922" s="113"/>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2"/>
      <c r="C923" s="113"/>
      <c r="D923" s="113"/>
      <c r="E923" s="113"/>
      <c r="F923" s="113"/>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2"/>
      <c r="C924" s="113"/>
      <c r="D924" s="113"/>
      <c r="E924" s="113"/>
      <c r="F924" s="113"/>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2"/>
      <c r="C925" s="113"/>
      <c r="D925" s="113"/>
      <c r="E925" s="113"/>
      <c r="F925" s="113"/>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2"/>
      <c r="C926" s="113"/>
      <c r="D926" s="113"/>
      <c r="E926" s="113"/>
      <c r="F926" s="113"/>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2"/>
      <c r="C927" s="113"/>
      <c r="D927" s="113"/>
      <c r="E927" s="113"/>
      <c r="F927" s="113"/>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2"/>
      <c r="C928" s="113"/>
      <c r="D928" s="113"/>
      <c r="E928" s="113"/>
      <c r="F928" s="113"/>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2"/>
      <c r="C929" s="113"/>
      <c r="D929" s="113"/>
      <c r="E929" s="113"/>
      <c r="F929" s="113"/>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2"/>
      <c r="C930" s="113"/>
      <c r="D930" s="113"/>
      <c r="E930" s="113"/>
      <c r="F930" s="113"/>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2"/>
      <c r="C931" s="113"/>
      <c r="D931" s="113"/>
      <c r="E931" s="113"/>
      <c r="F931" s="113"/>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2"/>
      <c r="C932" s="113"/>
      <c r="D932" s="113"/>
      <c r="E932" s="113"/>
      <c r="F932" s="113"/>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2"/>
      <c r="C933" s="113"/>
      <c r="D933" s="113"/>
      <c r="E933" s="113"/>
      <c r="F933" s="113"/>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2"/>
      <c r="C934" s="113"/>
      <c r="D934" s="113"/>
      <c r="E934" s="113"/>
      <c r="F934" s="113"/>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2"/>
      <c r="C935" s="113"/>
      <c r="D935" s="113"/>
      <c r="E935" s="113"/>
      <c r="F935" s="113"/>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2"/>
      <c r="C936" s="113"/>
      <c r="D936" s="113"/>
      <c r="E936" s="113"/>
      <c r="F936" s="113"/>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2"/>
      <c r="C937" s="113"/>
      <c r="D937" s="113"/>
      <c r="E937" s="113"/>
      <c r="F937" s="113"/>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2"/>
      <c r="C938" s="113"/>
      <c r="D938" s="113"/>
      <c r="E938" s="113"/>
      <c r="F938" s="113"/>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2"/>
      <c r="C939" s="113"/>
      <c r="D939" s="113"/>
      <c r="E939" s="113"/>
      <c r="F939" s="113"/>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2"/>
      <c r="C940" s="113"/>
      <c r="D940" s="113"/>
      <c r="E940" s="113"/>
      <c r="F940" s="113"/>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2"/>
      <c r="C941" s="113"/>
      <c r="D941" s="113"/>
      <c r="E941" s="113"/>
      <c r="F941" s="113"/>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2"/>
      <c r="C942" s="113"/>
      <c r="D942" s="113"/>
      <c r="E942" s="113"/>
      <c r="F942" s="113"/>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2"/>
      <c r="C943" s="113"/>
      <c r="D943" s="113"/>
      <c r="E943" s="113"/>
      <c r="F943" s="113"/>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2"/>
      <c r="C944" s="113"/>
      <c r="D944" s="113"/>
      <c r="E944" s="113"/>
      <c r="F944" s="113"/>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2"/>
      <c r="C945" s="113"/>
      <c r="D945" s="113"/>
      <c r="E945" s="113"/>
      <c r="F945" s="113"/>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2"/>
      <c r="C946" s="113"/>
      <c r="D946" s="113"/>
      <c r="E946" s="113"/>
      <c r="F946" s="113"/>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2"/>
      <c r="C947" s="113"/>
      <c r="D947" s="113"/>
      <c r="E947" s="113"/>
      <c r="F947" s="113"/>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2"/>
      <c r="C948" s="113"/>
      <c r="D948" s="113"/>
      <c r="E948" s="113"/>
      <c r="F948" s="113"/>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2"/>
      <c r="C949" s="113"/>
      <c r="D949" s="113"/>
      <c r="E949" s="113"/>
      <c r="F949" s="113"/>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2"/>
      <c r="C950" s="113"/>
      <c r="D950" s="113"/>
      <c r="E950" s="113"/>
      <c r="F950" s="113"/>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2"/>
      <c r="C951" s="113"/>
      <c r="D951" s="113"/>
      <c r="E951" s="113"/>
      <c r="F951" s="113"/>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2"/>
      <c r="C952" s="113"/>
      <c r="D952" s="113"/>
      <c r="E952" s="113"/>
      <c r="F952" s="113"/>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2"/>
      <c r="C953" s="113"/>
      <c r="D953" s="113"/>
      <c r="E953" s="113"/>
      <c r="F953" s="113"/>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2"/>
      <c r="C954" s="113"/>
      <c r="D954" s="113"/>
      <c r="E954" s="113"/>
      <c r="F954" s="113"/>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2"/>
      <c r="C955" s="113"/>
      <c r="D955" s="113"/>
      <c r="E955" s="113"/>
      <c r="F955" s="113"/>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2"/>
      <c r="C956" s="113"/>
      <c r="D956" s="113"/>
      <c r="E956" s="113"/>
      <c r="F956" s="113"/>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2"/>
      <c r="C957" s="113"/>
      <c r="D957" s="113"/>
      <c r="E957" s="113"/>
      <c r="F957" s="113"/>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2"/>
      <c r="C958" s="113"/>
      <c r="D958" s="113"/>
      <c r="E958" s="113"/>
      <c r="F958" s="113"/>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2"/>
      <c r="C959" s="113"/>
      <c r="D959" s="113"/>
      <c r="E959" s="113"/>
      <c r="F959" s="113"/>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2"/>
      <c r="C960" s="113"/>
      <c r="D960" s="113"/>
      <c r="E960" s="113"/>
      <c r="F960" s="113"/>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2"/>
      <c r="C961" s="113"/>
      <c r="D961" s="113"/>
      <c r="E961" s="113"/>
      <c r="F961" s="113"/>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2"/>
      <c r="C962" s="113"/>
      <c r="D962" s="113"/>
      <c r="E962" s="113"/>
      <c r="F962" s="113"/>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2"/>
      <c r="C963" s="113"/>
      <c r="D963" s="113"/>
      <c r="E963" s="113"/>
      <c r="F963" s="113"/>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2"/>
      <c r="C964" s="113"/>
      <c r="D964" s="113"/>
      <c r="E964" s="113"/>
      <c r="F964" s="113"/>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2"/>
      <c r="C965" s="113"/>
      <c r="D965" s="113"/>
      <c r="E965" s="113"/>
      <c r="F965" s="113"/>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2"/>
      <c r="C966" s="113"/>
      <c r="D966" s="113"/>
      <c r="E966" s="113"/>
      <c r="F966" s="113"/>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2"/>
      <c r="C967" s="113"/>
      <c r="D967" s="113"/>
      <c r="E967" s="113"/>
      <c r="F967" s="113"/>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2"/>
      <c r="C968" s="113"/>
      <c r="D968" s="113"/>
      <c r="E968" s="113"/>
      <c r="F968" s="113"/>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2"/>
      <c r="C969" s="113"/>
      <c r="D969" s="113"/>
      <c r="E969" s="113"/>
      <c r="F969" s="113"/>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2"/>
      <c r="C970" s="113"/>
      <c r="D970" s="113"/>
      <c r="E970" s="113"/>
      <c r="F970" s="113"/>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2"/>
      <c r="C971" s="113"/>
      <c r="D971" s="113"/>
      <c r="E971" s="113"/>
      <c r="F971" s="113"/>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2"/>
      <c r="C972" s="113"/>
      <c r="D972" s="113"/>
      <c r="E972" s="113"/>
      <c r="F972" s="113"/>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2"/>
      <c r="C973" s="113"/>
      <c r="D973" s="113"/>
      <c r="E973" s="113"/>
      <c r="F973" s="113"/>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2"/>
      <c r="C974" s="113"/>
      <c r="D974" s="113"/>
      <c r="E974" s="113"/>
      <c r="F974" s="113"/>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2"/>
      <c r="C975" s="113"/>
      <c r="D975" s="113"/>
      <c r="E975" s="113"/>
      <c r="F975" s="113"/>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2"/>
      <c r="C976" s="113"/>
      <c r="D976" s="113"/>
      <c r="E976" s="113"/>
      <c r="F976" s="113"/>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2"/>
      <c r="C977" s="113"/>
      <c r="D977" s="113"/>
      <c r="E977" s="113"/>
      <c r="F977" s="113"/>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2"/>
      <c r="C978" s="113"/>
      <c r="D978" s="113"/>
      <c r="E978" s="113"/>
      <c r="F978" s="113"/>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2"/>
      <c r="C979" s="113"/>
      <c r="D979" s="113"/>
      <c r="E979" s="113"/>
      <c r="F979" s="113"/>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2"/>
      <c r="C980" s="113"/>
      <c r="D980" s="113"/>
      <c r="E980" s="113"/>
      <c r="F980" s="113"/>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2"/>
      <c r="C981" s="113"/>
      <c r="D981" s="113"/>
      <c r="E981" s="113"/>
      <c r="F981" s="113"/>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2"/>
      <c r="C982" s="113"/>
      <c r="D982" s="113"/>
      <c r="E982" s="113"/>
      <c r="F982" s="113"/>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2"/>
      <c r="C983" s="113"/>
      <c r="D983" s="113"/>
      <c r="E983" s="113"/>
      <c r="F983" s="113"/>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2"/>
      <c r="C984" s="113"/>
      <c r="D984" s="113"/>
      <c r="E984" s="113"/>
      <c r="F984" s="113"/>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2"/>
      <c r="C985" s="113"/>
      <c r="D985" s="113"/>
      <c r="E985" s="113"/>
      <c r="F985" s="113"/>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2"/>
      <c r="C986" s="113"/>
      <c r="D986" s="113"/>
      <c r="E986" s="113"/>
      <c r="F986" s="113"/>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2"/>
      <c r="C987" s="113"/>
      <c r="D987" s="113"/>
      <c r="E987" s="113"/>
      <c r="F987" s="113"/>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2"/>
      <c r="C988" s="113"/>
      <c r="D988" s="113"/>
      <c r="E988" s="113"/>
      <c r="F988" s="113"/>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2"/>
      <c r="C989" s="113"/>
      <c r="D989" s="113"/>
      <c r="E989" s="113"/>
      <c r="F989" s="113"/>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2"/>
      <c r="C990" s="113"/>
      <c r="D990" s="113"/>
      <c r="E990" s="113"/>
      <c r="F990" s="113"/>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2"/>
      <c r="C991" s="113"/>
      <c r="D991" s="113"/>
      <c r="E991" s="113"/>
      <c r="F991" s="113"/>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2"/>
      <c r="C992" s="113"/>
      <c r="D992" s="113"/>
      <c r="E992" s="113"/>
      <c r="F992" s="113"/>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2"/>
      <c r="C993" s="113"/>
      <c r="D993" s="113"/>
      <c r="E993" s="113"/>
      <c r="F993" s="113"/>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2"/>
      <c r="C994" s="113"/>
      <c r="D994" s="113"/>
      <c r="E994" s="113"/>
      <c r="F994" s="113"/>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2"/>
      <c r="C995" s="113"/>
      <c r="D995" s="113"/>
      <c r="E995" s="113"/>
      <c r="F995" s="113"/>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2"/>
      <c r="C996" s="113"/>
      <c r="D996" s="113"/>
      <c r="E996" s="113"/>
      <c r="F996" s="113"/>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2"/>
      <c r="C997" s="113"/>
      <c r="D997" s="113"/>
      <c r="E997" s="113"/>
      <c r="F997" s="113"/>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2"/>
      <c r="C998" s="113"/>
      <c r="D998" s="113"/>
      <c r="E998" s="113"/>
      <c r="F998" s="113"/>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2"/>
      <c r="C999" s="113"/>
      <c r="D999" s="113"/>
      <c r="E999" s="113"/>
      <c r="F999" s="113"/>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2"/>
      <c r="C1000" s="113"/>
      <c r="D1000" s="113"/>
      <c r="E1000" s="113"/>
      <c r="F1000" s="113"/>
      <c r="G1000" s="11"/>
      <c r="H1000" s="11"/>
      <c r="I1000" s="11"/>
      <c r="J1000" s="11"/>
      <c r="K1000" s="11"/>
      <c r="L1000" s="11"/>
      <c r="M1000" s="11"/>
      <c r="N1000" s="11"/>
      <c r="O1000" s="11"/>
      <c r="P1000" s="11"/>
      <c r="Q1000" s="11"/>
      <c r="R1000" s="11"/>
      <c r="S1000" s="11"/>
      <c r="T1000" s="11"/>
      <c r="U1000" s="11"/>
      <c r="V1000" s="11"/>
      <c r="W1000" s="11"/>
      <c r="X1000" s="11"/>
      <c r="Y1000" s="11"/>
      <c r="Z1000" s="11"/>
    </row>
    <row r="1001" ht="12.75" customHeight="1">
      <c r="A1001" s="11"/>
      <c r="B1001" s="112"/>
      <c r="C1001" s="113"/>
      <c r="D1001" s="113"/>
      <c r="E1001" s="113"/>
      <c r="F1001" s="113"/>
      <c r="G1001" s="11"/>
      <c r="H1001" s="11"/>
      <c r="I1001" s="11"/>
      <c r="J1001" s="11"/>
      <c r="K1001" s="11"/>
      <c r="L1001" s="11"/>
      <c r="M1001" s="11"/>
      <c r="N1001" s="11"/>
      <c r="O1001" s="11"/>
      <c r="P1001" s="11"/>
      <c r="Q1001" s="11"/>
      <c r="R1001" s="11"/>
      <c r="S1001" s="11"/>
      <c r="T1001" s="11"/>
      <c r="U1001" s="11"/>
      <c r="V1001" s="11"/>
      <c r="W1001" s="11"/>
      <c r="X1001" s="11"/>
      <c r="Y1001" s="11"/>
      <c r="Z1001" s="11"/>
    </row>
    <row r="1002" ht="12.75" customHeight="1">
      <c r="A1002" s="11"/>
      <c r="B1002" s="112"/>
      <c r="C1002" s="113"/>
      <c r="D1002" s="113"/>
      <c r="E1002" s="113"/>
      <c r="F1002" s="113"/>
      <c r="G1002" s="11"/>
      <c r="H1002" s="11"/>
      <c r="I1002" s="11"/>
      <c r="J1002" s="11"/>
      <c r="K1002" s="11"/>
      <c r="L1002" s="11"/>
      <c r="M1002" s="11"/>
      <c r="N1002" s="11"/>
      <c r="O1002" s="11"/>
      <c r="P1002" s="11"/>
      <c r="Q1002" s="11"/>
      <c r="R1002" s="11"/>
      <c r="S1002" s="11"/>
      <c r="T1002" s="11"/>
      <c r="U1002" s="11"/>
      <c r="V1002" s="11"/>
      <c r="W1002" s="11"/>
      <c r="X1002" s="11"/>
      <c r="Y1002" s="11"/>
      <c r="Z1002" s="11"/>
    </row>
    <row r="1003" ht="12.75" customHeight="1">
      <c r="A1003" s="11"/>
      <c r="B1003" s="112"/>
      <c r="C1003" s="113"/>
      <c r="D1003" s="113"/>
      <c r="E1003" s="113"/>
      <c r="F1003" s="113"/>
      <c r="G1003" s="11"/>
      <c r="H1003" s="11"/>
      <c r="I1003" s="11"/>
      <c r="J1003" s="11"/>
      <c r="K1003" s="11"/>
      <c r="L1003" s="11"/>
      <c r="M1003" s="11"/>
      <c r="N1003" s="11"/>
      <c r="O1003" s="11"/>
      <c r="P1003" s="11"/>
      <c r="Q1003" s="11"/>
      <c r="R1003" s="11"/>
      <c r="S1003" s="11"/>
      <c r="T1003" s="11"/>
      <c r="U1003" s="11"/>
      <c r="V1003" s="11"/>
      <c r="W1003" s="11"/>
      <c r="X1003" s="11"/>
      <c r="Y1003" s="11"/>
      <c r="Z1003" s="11"/>
    </row>
  </sheetData>
  <mergeCells count="6">
    <mergeCell ref="B3:C3"/>
    <mergeCell ref="D3:F3"/>
    <mergeCell ref="B4:C4"/>
    <mergeCell ref="D4:F4"/>
    <mergeCell ref="B5:C5"/>
    <mergeCell ref="D5:F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86"/>
    <col customWidth="1" min="2" max="2" width="30.43"/>
    <col customWidth="1" min="3" max="3" width="51.71"/>
    <col customWidth="1" min="4" max="4" width="65.57"/>
    <col customWidth="1" min="5" max="5" width="46.71"/>
    <col customWidth="1" min="6" max="6" width="58.43"/>
    <col customWidth="1" min="7" max="7" width="44.29"/>
    <col customWidth="1" min="8" max="8" width="33.14"/>
    <col customWidth="1" min="9" max="9" width="5.57"/>
    <col customWidth="1" min="10" max="10" width="12.0"/>
    <col customWidth="1" min="11" max="11" width="18.14"/>
  </cols>
  <sheetData>
    <row r="1">
      <c r="A1" s="149"/>
      <c r="B1" s="149"/>
      <c r="C1" s="149"/>
      <c r="D1" s="149"/>
      <c r="E1" s="149"/>
      <c r="F1" s="149"/>
      <c r="G1" s="149"/>
      <c r="H1" s="149"/>
      <c r="I1" s="149"/>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row>
    <row r="2">
      <c r="A2" s="151" t="s">
        <v>166</v>
      </c>
      <c r="B2" s="152" t="s">
        <v>167</v>
      </c>
      <c r="C2" s="153"/>
      <c r="D2" s="153"/>
      <c r="E2" s="153"/>
      <c r="F2" s="153"/>
      <c r="G2" s="153"/>
      <c r="H2" s="153"/>
      <c r="I2" s="154"/>
      <c r="J2" s="150"/>
      <c r="K2" s="150"/>
      <c r="L2" s="150"/>
      <c r="M2" s="150"/>
      <c r="N2" s="150"/>
      <c r="O2" s="155" t="s">
        <v>168</v>
      </c>
      <c r="P2" s="150"/>
      <c r="Q2" s="150"/>
      <c r="R2" s="150"/>
      <c r="S2" s="150"/>
      <c r="T2" s="150"/>
      <c r="U2" s="150"/>
      <c r="V2" s="150"/>
      <c r="W2" s="150"/>
      <c r="X2" s="150"/>
      <c r="Y2" s="150"/>
      <c r="Z2" s="150"/>
      <c r="AA2" s="150"/>
      <c r="AB2" s="150"/>
      <c r="AC2" s="150"/>
      <c r="AD2" s="150"/>
      <c r="AE2" s="150"/>
      <c r="AF2" s="150"/>
      <c r="AG2" s="150"/>
      <c r="AH2" s="150"/>
      <c r="AI2" s="150"/>
      <c r="AJ2" s="150"/>
      <c r="AK2" s="150"/>
      <c r="AL2" s="150"/>
    </row>
    <row r="3">
      <c r="A3" s="156" t="s">
        <v>169</v>
      </c>
      <c r="B3" s="157"/>
      <c r="C3" s="23"/>
      <c r="D3" s="23"/>
      <c r="E3" s="23"/>
      <c r="F3" s="23"/>
      <c r="G3" s="23"/>
      <c r="H3" s="23"/>
      <c r="I3" s="158"/>
      <c r="J3" s="150"/>
      <c r="K3" s="150"/>
      <c r="L3" s="150"/>
      <c r="M3" s="150"/>
      <c r="N3" s="150"/>
      <c r="O3" s="159" t="s">
        <v>170</v>
      </c>
      <c r="P3" s="150"/>
      <c r="Q3" s="150"/>
      <c r="R3" s="150"/>
      <c r="S3" s="150"/>
      <c r="T3" s="150"/>
      <c r="U3" s="150"/>
      <c r="V3" s="150"/>
      <c r="W3" s="150"/>
      <c r="X3" s="150"/>
      <c r="Y3" s="150"/>
      <c r="Z3" s="150"/>
      <c r="AA3" s="150"/>
      <c r="AB3" s="150"/>
      <c r="AC3" s="150"/>
      <c r="AD3" s="150"/>
      <c r="AE3" s="150"/>
      <c r="AF3" s="150"/>
      <c r="AG3" s="150"/>
      <c r="AH3" s="150"/>
      <c r="AI3" s="150"/>
      <c r="AJ3" s="150"/>
      <c r="AK3" s="150"/>
      <c r="AL3" s="150"/>
    </row>
    <row r="4">
      <c r="A4" s="156" t="s">
        <v>171</v>
      </c>
      <c r="B4" s="160" t="s">
        <v>172</v>
      </c>
      <c r="C4" s="161"/>
      <c r="D4" s="161"/>
      <c r="E4" s="161"/>
      <c r="F4" s="161"/>
      <c r="G4" s="161"/>
      <c r="H4" s="161"/>
      <c r="I4" s="162"/>
      <c r="J4" s="150"/>
      <c r="K4" s="149"/>
      <c r="L4" s="150"/>
      <c r="M4" s="150"/>
      <c r="N4" s="150"/>
      <c r="O4" s="163" t="s">
        <v>173</v>
      </c>
      <c r="P4" s="150"/>
      <c r="Q4" s="150"/>
      <c r="R4" s="150"/>
      <c r="S4" s="150"/>
      <c r="T4" s="150"/>
      <c r="U4" s="150"/>
      <c r="V4" s="150"/>
      <c r="W4" s="150"/>
      <c r="X4" s="150"/>
      <c r="Y4" s="150"/>
      <c r="Z4" s="150"/>
      <c r="AA4" s="150"/>
      <c r="AB4" s="150"/>
      <c r="AC4" s="150"/>
      <c r="AD4" s="150"/>
      <c r="AE4" s="150"/>
      <c r="AF4" s="150"/>
      <c r="AG4" s="150"/>
      <c r="AH4" s="150"/>
      <c r="AI4" s="150"/>
      <c r="AJ4" s="150"/>
      <c r="AK4" s="150"/>
      <c r="AL4" s="150"/>
    </row>
    <row r="5">
      <c r="A5" s="164" t="s">
        <v>168</v>
      </c>
      <c r="B5" s="165" t="s">
        <v>170</v>
      </c>
      <c r="C5" s="166" t="s">
        <v>174</v>
      </c>
      <c r="D5" s="167"/>
      <c r="E5" s="166" t="s">
        <v>175</v>
      </c>
      <c r="F5" s="167"/>
      <c r="G5" s="166" t="s">
        <v>176</v>
      </c>
      <c r="H5" s="161"/>
      <c r="I5" s="162"/>
      <c r="J5" s="168"/>
      <c r="K5" s="169">
        <f>NOW()</f>
        <v>46202.24998</v>
      </c>
      <c r="L5" s="170"/>
      <c r="M5" s="150"/>
      <c r="N5" s="150"/>
      <c r="O5" s="150" t="s">
        <v>177</v>
      </c>
      <c r="P5" s="150"/>
      <c r="Q5" s="150"/>
      <c r="R5" s="150"/>
      <c r="S5" s="150"/>
      <c r="T5" s="150"/>
      <c r="U5" s="150"/>
      <c r="V5" s="150"/>
      <c r="W5" s="150"/>
      <c r="X5" s="150"/>
      <c r="Y5" s="150"/>
      <c r="Z5" s="150"/>
      <c r="AA5" s="150"/>
      <c r="AB5" s="150"/>
      <c r="AC5" s="150"/>
      <c r="AD5" s="150"/>
      <c r="AE5" s="150"/>
      <c r="AF5" s="150"/>
      <c r="AG5" s="150"/>
      <c r="AH5" s="150"/>
      <c r="AI5" s="150"/>
      <c r="AJ5" s="150"/>
      <c r="AK5" s="150"/>
      <c r="AL5" s="150"/>
    </row>
    <row r="6">
      <c r="A6" s="171">
        <f>COUNTIF(I8:I980,"Pass")</f>
        <v>19</v>
      </c>
      <c r="B6" s="172">
        <f>COUNTIF(I8:I980,"Fail")</f>
        <v>0</v>
      </c>
      <c r="C6" s="173" t="str">
        <f>H6-F6-C6-B6</f>
        <v>#REF!</v>
      </c>
      <c r="D6" s="174"/>
      <c r="E6" s="173">
        <f>COUNTIF(J$8:J$980,"N/A")</f>
        <v>0</v>
      </c>
      <c r="F6" s="174"/>
      <c r="G6" s="175">
        <f>COUNTA(C8:C980)</f>
        <v>20</v>
      </c>
      <c r="H6" s="176"/>
      <c r="I6" s="177"/>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row>
    <row r="7">
      <c r="A7" s="178"/>
      <c r="B7" s="153"/>
      <c r="C7" s="153"/>
      <c r="D7" s="153"/>
      <c r="E7" s="153"/>
      <c r="F7" s="153"/>
      <c r="G7" s="153"/>
      <c r="H7" s="153"/>
      <c r="I7" s="179"/>
      <c r="J7" s="149"/>
      <c r="K7" s="149"/>
      <c r="L7" s="150"/>
      <c r="M7" s="149"/>
      <c r="N7" s="150"/>
      <c r="O7" s="150"/>
      <c r="P7" s="150"/>
      <c r="Q7" s="150"/>
      <c r="R7" s="150"/>
      <c r="S7" s="150"/>
      <c r="T7" s="150"/>
      <c r="U7" s="150"/>
      <c r="V7" s="150"/>
      <c r="W7" s="150"/>
      <c r="X7" s="150"/>
      <c r="Y7" s="150"/>
      <c r="Z7" s="150"/>
      <c r="AA7" s="150"/>
      <c r="AB7" s="150"/>
      <c r="AC7" s="150"/>
      <c r="AD7" s="150"/>
      <c r="AE7" s="150"/>
      <c r="AF7" s="150"/>
      <c r="AG7" s="150"/>
      <c r="AH7" s="150"/>
      <c r="AI7" s="150"/>
      <c r="AJ7" s="150"/>
      <c r="AK7" s="150"/>
      <c r="AL7" s="150"/>
    </row>
    <row r="8">
      <c r="A8" s="56"/>
      <c r="B8" s="56"/>
      <c r="C8" s="150"/>
      <c r="D8" s="180"/>
      <c r="E8" s="180"/>
      <c r="F8" s="150"/>
      <c r="G8" s="150"/>
      <c r="H8" s="180"/>
      <c r="I8" s="180"/>
      <c r="J8" s="180"/>
      <c r="K8" s="180"/>
      <c r="L8" s="150"/>
      <c r="M8" s="150"/>
      <c r="N8" s="150"/>
      <c r="O8" s="150"/>
      <c r="P8" s="150"/>
      <c r="Q8" s="150"/>
      <c r="R8" s="150"/>
      <c r="S8" s="150"/>
      <c r="T8" s="150"/>
      <c r="U8" s="150"/>
      <c r="V8" s="150"/>
      <c r="W8" s="150"/>
      <c r="X8" s="150"/>
      <c r="Y8" s="150"/>
      <c r="Z8" s="150"/>
      <c r="AA8" s="150"/>
      <c r="AB8" s="150"/>
      <c r="AC8" s="150"/>
      <c r="AD8" s="150"/>
      <c r="AE8" s="150"/>
      <c r="AF8" s="150"/>
      <c r="AG8" s="150"/>
      <c r="AH8" s="150"/>
      <c r="AI8" s="150"/>
      <c r="AJ8" s="150"/>
      <c r="AK8" s="150"/>
      <c r="AL8" s="150"/>
    </row>
    <row r="9">
      <c r="A9" s="56"/>
      <c r="B9" s="56"/>
      <c r="C9" s="150"/>
      <c r="D9" s="180"/>
      <c r="E9" s="180"/>
      <c r="F9" s="150"/>
      <c r="G9" s="150"/>
      <c r="H9" s="180"/>
      <c r="I9" s="180"/>
      <c r="J9" s="180"/>
      <c r="K9" s="180"/>
      <c r="L9" s="150"/>
      <c r="M9" s="150"/>
      <c r="N9" s="150"/>
      <c r="O9" s="150"/>
      <c r="P9" s="150"/>
      <c r="Q9" s="150"/>
      <c r="R9" s="150"/>
      <c r="S9" s="150"/>
      <c r="T9" s="150"/>
      <c r="U9" s="150"/>
      <c r="V9" s="150"/>
      <c r="W9" s="150"/>
      <c r="X9" s="150"/>
      <c r="Y9" s="150"/>
      <c r="Z9" s="150"/>
      <c r="AA9" s="150"/>
      <c r="AB9" s="150"/>
      <c r="AC9" s="150"/>
      <c r="AD9" s="150"/>
      <c r="AE9" s="150"/>
      <c r="AF9" s="150"/>
      <c r="AG9" s="150"/>
      <c r="AH9" s="150"/>
      <c r="AI9" s="150"/>
      <c r="AJ9" s="150"/>
      <c r="AK9" s="150"/>
      <c r="AL9" s="150"/>
    </row>
    <row r="10">
      <c r="A10" s="181" t="s">
        <v>178</v>
      </c>
      <c r="B10" s="181" t="s">
        <v>179</v>
      </c>
      <c r="C10" s="181" t="s">
        <v>180</v>
      </c>
      <c r="D10" s="181" t="s">
        <v>181</v>
      </c>
      <c r="E10" s="181" t="s">
        <v>182</v>
      </c>
      <c r="F10" s="181" t="s">
        <v>183</v>
      </c>
      <c r="G10" s="181" t="s">
        <v>184</v>
      </c>
      <c r="H10" s="181" t="s">
        <v>185</v>
      </c>
      <c r="I10" s="181" t="s">
        <v>186</v>
      </c>
      <c r="J10" s="181" t="s">
        <v>187</v>
      </c>
      <c r="K10" s="181" t="s">
        <v>188</v>
      </c>
      <c r="L10" s="182"/>
      <c r="M10" s="183"/>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row>
    <row r="11">
      <c r="A11" s="184"/>
      <c r="B11" s="6"/>
      <c r="C11" s="6"/>
      <c r="D11" s="6"/>
      <c r="E11" s="6"/>
      <c r="F11" s="6"/>
      <c r="G11" s="6"/>
      <c r="H11" s="6"/>
      <c r="I11" s="6"/>
      <c r="J11" s="6"/>
      <c r="K11" s="7"/>
      <c r="L11" s="182"/>
      <c r="M11" s="183"/>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row>
    <row r="12">
      <c r="A12" s="185" t="s">
        <v>189</v>
      </c>
      <c r="B12" s="186" t="s">
        <v>190</v>
      </c>
      <c r="C12" s="185" t="s">
        <v>191</v>
      </c>
      <c r="D12" s="185" t="s">
        <v>192</v>
      </c>
      <c r="E12" s="187" t="s">
        <v>193</v>
      </c>
      <c r="F12" s="185" t="s">
        <v>194</v>
      </c>
      <c r="G12" s="185" t="s">
        <v>195</v>
      </c>
      <c r="H12" s="185" t="s">
        <v>196</v>
      </c>
      <c r="I12" s="185" t="s">
        <v>168</v>
      </c>
      <c r="J12" s="188">
        <v>45766.0</v>
      </c>
      <c r="K12" s="185"/>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row>
    <row r="13">
      <c r="A13" s="185" t="s">
        <v>197</v>
      </c>
      <c r="B13" s="21"/>
      <c r="C13" s="185" t="s">
        <v>198</v>
      </c>
      <c r="D13" s="185" t="s">
        <v>199</v>
      </c>
      <c r="E13" s="187" t="s">
        <v>200</v>
      </c>
      <c r="F13" s="185" t="s">
        <v>201</v>
      </c>
      <c r="G13" s="185" t="s">
        <v>202</v>
      </c>
      <c r="H13" s="185" t="s">
        <v>196</v>
      </c>
      <c r="I13" s="185" t="s">
        <v>168</v>
      </c>
      <c r="J13" s="188">
        <v>45766.0</v>
      </c>
      <c r="K13" s="185"/>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row>
    <row r="14">
      <c r="A14" s="185" t="s">
        <v>203</v>
      </c>
      <c r="B14" s="186" t="s">
        <v>204</v>
      </c>
      <c r="C14" s="185" t="s">
        <v>205</v>
      </c>
      <c r="D14" s="185" t="s">
        <v>206</v>
      </c>
      <c r="E14" s="187" t="s">
        <v>207</v>
      </c>
      <c r="F14" s="185" t="s">
        <v>208</v>
      </c>
      <c r="G14" s="185" t="s">
        <v>209</v>
      </c>
      <c r="H14" s="185" t="s">
        <v>189</v>
      </c>
      <c r="I14" s="185" t="s">
        <v>168</v>
      </c>
      <c r="J14" s="188">
        <v>45766.0</v>
      </c>
      <c r="K14" s="185"/>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row>
    <row r="15">
      <c r="A15" s="185" t="s">
        <v>210</v>
      </c>
      <c r="B15" s="92"/>
      <c r="C15" s="185" t="s">
        <v>211</v>
      </c>
      <c r="D15" s="185" t="s">
        <v>212</v>
      </c>
      <c r="E15" s="187" t="s">
        <v>213</v>
      </c>
      <c r="F15" s="185" t="s">
        <v>214</v>
      </c>
      <c r="G15" s="182" t="s">
        <v>215</v>
      </c>
      <c r="H15" s="185" t="s">
        <v>196</v>
      </c>
      <c r="I15" s="185" t="s">
        <v>168</v>
      </c>
      <c r="J15" s="188">
        <v>45766.0</v>
      </c>
      <c r="K15" s="185"/>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2"/>
      <c r="AJ15" s="182"/>
      <c r="AK15" s="182"/>
      <c r="AL15" s="182"/>
    </row>
    <row r="16">
      <c r="A16" s="185" t="s">
        <v>216</v>
      </c>
      <c r="B16" s="92"/>
      <c r="C16" s="185" t="s">
        <v>217</v>
      </c>
      <c r="D16" s="185" t="s">
        <v>218</v>
      </c>
      <c r="E16" s="187" t="s">
        <v>219</v>
      </c>
      <c r="F16" s="185" t="s">
        <v>220</v>
      </c>
      <c r="G16" s="185" t="s">
        <v>221</v>
      </c>
      <c r="H16" s="185"/>
      <c r="I16" s="185" t="s">
        <v>168</v>
      </c>
      <c r="J16" s="188">
        <v>45766.0</v>
      </c>
      <c r="K16" s="185"/>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row>
    <row r="17">
      <c r="A17" s="185" t="s">
        <v>222</v>
      </c>
      <c r="B17" s="21"/>
      <c r="C17" s="185" t="s">
        <v>223</v>
      </c>
      <c r="D17" s="185" t="s">
        <v>224</v>
      </c>
      <c r="E17" s="185" t="s">
        <v>225</v>
      </c>
      <c r="F17" s="185" t="s">
        <v>226</v>
      </c>
      <c r="G17" s="185" t="s">
        <v>227</v>
      </c>
      <c r="H17" s="185" t="s">
        <v>196</v>
      </c>
      <c r="I17" s="185" t="s">
        <v>168</v>
      </c>
      <c r="J17" s="188">
        <v>45766.0</v>
      </c>
      <c r="K17" s="185"/>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row>
    <row r="18">
      <c r="A18" s="189"/>
      <c r="B18" s="6"/>
      <c r="C18" s="6"/>
      <c r="D18" s="6"/>
      <c r="E18" s="6"/>
      <c r="F18" s="6"/>
      <c r="G18" s="6"/>
      <c r="H18" s="6"/>
      <c r="I18" s="6"/>
      <c r="J18" s="6"/>
      <c r="K18" s="7"/>
      <c r="L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row>
    <row r="19">
      <c r="A19" s="185" t="s">
        <v>228</v>
      </c>
      <c r="B19" s="185" t="s">
        <v>229</v>
      </c>
      <c r="C19" s="185" t="s">
        <v>230</v>
      </c>
      <c r="D19" s="185" t="s">
        <v>231</v>
      </c>
      <c r="E19" s="187" t="s">
        <v>232</v>
      </c>
      <c r="F19" s="185" t="s">
        <v>233</v>
      </c>
      <c r="G19" s="185" t="s">
        <v>234</v>
      </c>
      <c r="H19" s="185" t="s">
        <v>196</v>
      </c>
      <c r="I19" s="185" t="s">
        <v>168</v>
      </c>
      <c r="J19" s="188">
        <v>45766.0</v>
      </c>
      <c r="K19" s="185"/>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row>
    <row r="20">
      <c r="A20" s="185" t="s">
        <v>235</v>
      </c>
      <c r="B20" s="186" t="s">
        <v>236</v>
      </c>
      <c r="C20" s="185" t="s">
        <v>237</v>
      </c>
      <c r="D20" s="185" t="s">
        <v>238</v>
      </c>
      <c r="E20" s="187" t="s">
        <v>239</v>
      </c>
      <c r="F20" s="185" t="s">
        <v>240</v>
      </c>
      <c r="G20" s="185" t="s">
        <v>241</v>
      </c>
      <c r="H20" s="185" t="s">
        <v>228</v>
      </c>
      <c r="I20" s="185" t="s">
        <v>168</v>
      </c>
      <c r="J20" s="188">
        <v>45766.0</v>
      </c>
      <c r="K20" s="185"/>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L20" s="182"/>
    </row>
    <row r="21">
      <c r="A21" s="185" t="s">
        <v>242</v>
      </c>
      <c r="B21" s="92"/>
      <c r="C21" s="185" t="s">
        <v>243</v>
      </c>
      <c r="D21" s="185" t="s">
        <v>244</v>
      </c>
      <c r="E21" s="185" t="s">
        <v>245</v>
      </c>
      <c r="F21" s="185" t="s">
        <v>246</v>
      </c>
      <c r="G21" s="185" t="s">
        <v>247</v>
      </c>
      <c r="H21" s="185" t="s">
        <v>196</v>
      </c>
      <c r="I21" s="185" t="s">
        <v>168</v>
      </c>
      <c r="J21" s="188">
        <v>45766.0</v>
      </c>
      <c r="K21" s="185"/>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row>
    <row r="22">
      <c r="A22" s="185" t="s">
        <v>248</v>
      </c>
      <c r="B22" s="92"/>
      <c r="C22" s="185" t="s">
        <v>249</v>
      </c>
      <c r="D22" s="185" t="s">
        <v>250</v>
      </c>
      <c r="E22" s="185" t="s">
        <v>251</v>
      </c>
      <c r="F22" s="185" t="s">
        <v>252</v>
      </c>
      <c r="G22" s="185" t="s">
        <v>253</v>
      </c>
      <c r="H22" s="185" t="s">
        <v>196</v>
      </c>
      <c r="I22" s="185" t="s">
        <v>168</v>
      </c>
      <c r="J22" s="188">
        <v>45766.0</v>
      </c>
      <c r="K22" s="185"/>
      <c r="L22" s="182"/>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2"/>
      <c r="AJ22" s="182"/>
      <c r="AK22" s="182"/>
      <c r="AL22" s="182"/>
    </row>
    <row r="23">
      <c r="A23" s="185" t="s">
        <v>254</v>
      </c>
      <c r="B23" s="21"/>
      <c r="C23" s="185" t="s">
        <v>255</v>
      </c>
      <c r="D23" s="185" t="s">
        <v>256</v>
      </c>
      <c r="E23" s="185" t="s">
        <v>257</v>
      </c>
      <c r="F23" s="185" t="s">
        <v>258</v>
      </c>
      <c r="G23" s="185" t="s">
        <v>259</v>
      </c>
      <c r="H23" s="185" t="s">
        <v>196</v>
      </c>
      <c r="I23" s="185" t="s">
        <v>168</v>
      </c>
      <c r="J23" s="188">
        <v>45766.0</v>
      </c>
      <c r="K23" s="185"/>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row>
    <row r="24">
      <c r="A24" s="189"/>
      <c r="B24" s="6"/>
      <c r="C24" s="6"/>
      <c r="D24" s="6"/>
      <c r="E24" s="6"/>
      <c r="F24" s="6"/>
      <c r="G24" s="6"/>
      <c r="H24" s="6"/>
      <c r="I24" s="6"/>
      <c r="J24" s="6"/>
      <c r="K24" s="7"/>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row>
    <row r="25">
      <c r="A25" s="185" t="s">
        <v>260</v>
      </c>
      <c r="B25" s="185" t="s">
        <v>261</v>
      </c>
      <c r="C25" s="185" t="s">
        <v>262</v>
      </c>
      <c r="D25" s="185" t="s">
        <v>263</v>
      </c>
      <c r="E25" s="187" t="s">
        <v>239</v>
      </c>
      <c r="F25" s="185" t="s">
        <v>264</v>
      </c>
      <c r="G25" s="185" t="s">
        <v>265</v>
      </c>
      <c r="H25" s="185" t="s">
        <v>196</v>
      </c>
      <c r="I25" s="185" t="s">
        <v>168</v>
      </c>
      <c r="J25" s="188">
        <v>45766.0</v>
      </c>
      <c r="K25" s="185"/>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row>
    <row r="26">
      <c r="A26" s="185" t="s">
        <v>266</v>
      </c>
      <c r="B26" s="186" t="s">
        <v>267</v>
      </c>
      <c r="C26" s="185" t="s">
        <v>268</v>
      </c>
      <c r="D26" s="185" t="s">
        <v>269</v>
      </c>
      <c r="E26" s="187" t="s">
        <v>270</v>
      </c>
      <c r="F26" s="185" t="s">
        <v>271</v>
      </c>
      <c r="G26" s="185" t="s">
        <v>272</v>
      </c>
      <c r="H26" s="185" t="s">
        <v>196</v>
      </c>
      <c r="I26" s="185" t="s">
        <v>168</v>
      </c>
      <c r="J26" s="188">
        <v>45766.0</v>
      </c>
      <c r="K26" s="185"/>
      <c r="L26" s="182"/>
      <c r="M26" s="182"/>
      <c r="N26" s="182"/>
      <c r="O26" s="182"/>
      <c r="P26" s="182"/>
      <c r="Q26" s="182"/>
      <c r="R26" s="182"/>
      <c r="S26" s="182"/>
      <c r="T26" s="182"/>
      <c r="U26" s="182"/>
      <c r="V26" s="182"/>
      <c r="W26" s="182"/>
      <c r="X26" s="182"/>
      <c r="Y26" s="182"/>
      <c r="Z26" s="182"/>
      <c r="AA26" s="182"/>
      <c r="AB26" s="182"/>
      <c r="AC26" s="182"/>
      <c r="AD26" s="182"/>
      <c r="AE26" s="182"/>
      <c r="AF26" s="182"/>
      <c r="AG26" s="182"/>
      <c r="AH26" s="182"/>
      <c r="AI26" s="182"/>
      <c r="AJ26" s="182"/>
      <c r="AK26" s="182"/>
      <c r="AL26" s="182"/>
    </row>
    <row r="27">
      <c r="A27" s="185" t="s">
        <v>273</v>
      </c>
      <c r="B27" s="92"/>
      <c r="C27" s="185" t="s">
        <v>274</v>
      </c>
      <c r="D27" s="185" t="s">
        <v>275</v>
      </c>
      <c r="E27" s="185" t="s">
        <v>276</v>
      </c>
      <c r="F27" s="185" t="s">
        <v>277</v>
      </c>
      <c r="G27" s="185" t="s">
        <v>278</v>
      </c>
      <c r="H27" s="185" t="s">
        <v>260</v>
      </c>
      <c r="I27" s="185" t="s">
        <v>168</v>
      </c>
      <c r="J27" s="188">
        <v>45766.0</v>
      </c>
      <c r="K27" s="185"/>
      <c r="L27" s="182"/>
      <c r="M27" s="182"/>
      <c r="N27" s="182"/>
      <c r="O27" s="182"/>
      <c r="P27" s="182"/>
      <c r="Q27" s="182"/>
      <c r="R27" s="182"/>
      <c r="S27" s="182"/>
      <c r="T27" s="182"/>
      <c r="U27" s="182"/>
      <c r="V27" s="182"/>
      <c r="W27" s="182"/>
      <c r="X27" s="182"/>
      <c r="Y27" s="182"/>
      <c r="Z27" s="182"/>
      <c r="AA27" s="182"/>
      <c r="AB27" s="182"/>
      <c r="AC27" s="182"/>
      <c r="AD27" s="182"/>
      <c r="AE27" s="182"/>
      <c r="AF27" s="182"/>
      <c r="AG27" s="182"/>
      <c r="AH27" s="182"/>
      <c r="AI27" s="182"/>
      <c r="AJ27" s="182"/>
      <c r="AK27" s="182"/>
      <c r="AL27" s="182"/>
    </row>
    <row r="28">
      <c r="A28" s="185" t="s">
        <v>279</v>
      </c>
      <c r="B28" s="21"/>
      <c r="C28" s="185" t="s">
        <v>280</v>
      </c>
      <c r="D28" s="185" t="s">
        <v>281</v>
      </c>
      <c r="E28" s="185" t="s">
        <v>282</v>
      </c>
      <c r="F28" s="185" t="s">
        <v>283</v>
      </c>
      <c r="G28" s="185" t="s">
        <v>284</v>
      </c>
      <c r="H28" s="185" t="s">
        <v>260</v>
      </c>
      <c r="I28" s="185" t="s">
        <v>168</v>
      </c>
      <c r="J28" s="188">
        <v>45766.0</v>
      </c>
      <c r="K28" s="185"/>
      <c r="L28" s="182"/>
      <c r="M28" s="182"/>
      <c r="N28" s="182"/>
      <c r="O28" s="182"/>
      <c r="P28" s="182"/>
      <c r="Q28" s="182"/>
      <c r="R28" s="182"/>
      <c r="S28" s="182"/>
      <c r="T28" s="182"/>
      <c r="U28" s="182"/>
      <c r="V28" s="182"/>
      <c r="W28" s="182"/>
      <c r="X28" s="182"/>
      <c r="Y28" s="182"/>
      <c r="Z28" s="182"/>
      <c r="AA28" s="182"/>
      <c r="AB28" s="182"/>
      <c r="AC28" s="182"/>
      <c r="AD28" s="182"/>
      <c r="AE28" s="182"/>
      <c r="AF28" s="182"/>
      <c r="AG28" s="182"/>
      <c r="AH28" s="182"/>
      <c r="AI28" s="182"/>
      <c r="AJ28" s="182"/>
      <c r="AK28" s="182"/>
      <c r="AL28" s="182"/>
    </row>
    <row r="29">
      <c r="A29" s="189"/>
      <c r="B29" s="6"/>
      <c r="C29" s="6"/>
      <c r="D29" s="6"/>
      <c r="E29" s="6"/>
      <c r="F29" s="6"/>
      <c r="G29" s="6"/>
      <c r="H29" s="6"/>
      <c r="I29" s="6"/>
      <c r="J29" s="6"/>
      <c r="K29" s="7"/>
      <c r="L29" s="182"/>
      <c r="M29" s="182"/>
      <c r="N29" s="182"/>
      <c r="O29" s="182"/>
      <c r="P29" s="182"/>
      <c r="Q29" s="182"/>
      <c r="R29" s="182"/>
      <c r="S29" s="182"/>
      <c r="T29" s="182"/>
      <c r="U29" s="182"/>
      <c r="V29" s="182"/>
      <c r="W29" s="182"/>
      <c r="X29" s="182"/>
      <c r="Y29" s="182"/>
      <c r="Z29" s="182"/>
      <c r="AA29" s="182"/>
      <c r="AB29" s="182"/>
      <c r="AC29" s="182"/>
      <c r="AD29" s="182"/>
      <c r="AE29" s="182"/>
      <c r="AF29" s="182"/>
      <c r="AG29" s="182"/>
      <c r="AH29" s="182"/>
      <c r="AI29" s="182"/>
      <c r="AJ29" s="182"/>
      <c r="AK29" s="182"/>
      <c r="AL29" s="182"/>
    </row>
    <row r="30">
      <c r="A30" s="185" t="s">
        <v>285</v>
      </c>
      <c r="B30" s="185" t="s">
        <v>286</v>
      </c>
      <c r="C30" s="185" t="s">
        <v>287</v>
      </c>
      <c r="D30" s="185" t="s">
        <v>288</v>
      </c>
      <c r="E30" s="185" t="s">
        <v>289</v>
      </c>
      <c r="F30" s="185" t="s">
        <v>290</v>
      </c>
      <c r="G30" s="185" t="s">
        <v>291</v>
      </c>
      <c r="H30" s="185" t="s">
        <v>189</v>
      </c>
      <c r="I30" s="185" t="s">
        <v>168</v>
      </c>
      <c r="J30" s="188">
        <v>45766.0</v>
      </c>
      <c r="K30" s="185"/>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row>
    <row r="31">
      <c r="A31" s="185" t="s">
        <v>292</v>
      </c>
      <c r="B31" s="186" t="s">
        <v>293</v>
      </c>
      <c r="C31" s="185" t="s">
        <v>294</v>
      </c>
      <c r="D31" s="185" t="s">
        <v>295</v>
      </c>
      <c r="E31" s="185" t="s">
        <v>296</v>
      </c>
      <c r="F31" s="185" t="s">
        <v>297</v>
      </c>
      <c r="G31" s="185" t="s">
        <v>298</v>
      </c>
      <c r="H31" s="185" t="s">
        <v>189</v>
      </c>
      <c r="I31" s="185" t="s">
        <v>168</v>
      </c>
      <c r="J31" s="188">
        <v>45766.0</v>
      </c>
      <c r="K31" s="185"/>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row>
    <row r="32">
      <c r="A32" s="185" t="s">
        <v>299</v>
      </c>
      <c r="B32" s="92"/>
      <c r="C32" s="185" t="s">
        <v>300</v>
      </c>
      <c r="D32" s="185" t="s">
        <v>301</v>
      </c>
      <c r="E32" s="185" t="s">
        <v>300</v>
      </c>
      <c r="F32" s="185" t="s">
        <v>302</v>
      </c>
      <c r="G32" s="185" t="s">
        <v>303</v>
      </c>
      <c r="H32" s="185" t="s">
        <v>189</v>
      </c>
      <c r="I32" s="185" t="s">
        <v>168</v>
      </c>
      <c r="J32" s="188">
        <v>45766.0</v>
      </c>
      <c r="K32" s="185"/>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row>
    <row r="33">
      <c r="A33" s="185" t="s">
        <v>304</v>
      </c>
      <c r="B33" s="21"/>
      <c r="C33" s="185" t="s">
        <v>280</v>
      </c>
      <c r="D33" s="185" t="s">
        <v>305</v>
      </c>
      <c r="E33" s="185" t="s">
        <v>306</v>
      </c>
      <c r="F33" s="185" t="s">
        <v>307</v>
      </c>
      <c r="G33" s="185" t="s">
        <v>308</v>
      </c>
      <c r="H33" s="185" t="s">
        <v>189</v>
      </c>
      <c r="I33" s="185" t="s">
        <v>168</v>
      </c>
      <c r="J33" s="188">
        <v>45766.0</v>
      </c>
      <c r="K33" s="185"/>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row>
    <row r="34">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82"/>
      <c r="AL34" s="182"/>
    </row>
    <row r="35">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50"/>
      <c r="AH35" s="150"/>
      <c r="AI35" s="150"/>
      <c r="AJ35" s="150"/>
      <c r="AK35" s="150"/>
      <c r="AL35" s="150"/>
    </row>
    <row r="36">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row>
    <row r="37">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0"/>
      <c r="AF37" s="150"/>
      <c r="AG37" s="150"/>
      <c r="AH37" s="150"/>
      <c r="AI37" s="150"/>
      <c r="AJ37" s="150"/>
      <c r="AK37" s="150"/>
      <c r="AL37" s="150"/>
    </row>
    <row r="38">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c r="AL38" s="150"/>
    </row>
    <row r="39">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c r="AA39" s="150"/>
      <c r="AB39" s="150"/>
      <c r="AC39" s="150"/>
      <c r="AD39" s="150"/>
      <c r="AE39" s="150"/>
      <c r="AF39" s="150"/>
      <c r="AG39" s="150"/>
      <c r="AH39" s="150"/>
      <c r="AI39" s="150"/>
      <c r="AJ39" s="150"/>
      <c r="AK39" s="150"/>
      <c r="AL39" s="150"/>
    </row>
    <row r="40">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c r="AA40" s="150"/>
      <c r="AB40" s="150"/>
      <c r="AC40" s="150"/>
      <c r="AD40" s="150"/>
      <c r="AE40" s="150"/>
      <c r="AF40" s="150"/>
      <c r="AG40" s="150"/>
      <c r="AH40" s="150"/>
      <c r="AI40" s="150"/>
      <c r="AJ40" s="150"/>
      <c r="AK40" s="150"/>
      <c r="AL40" s="150"/>
    </row>
    <row r="4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c r="AA41" s="150"/>
      <c r="AB41" s="150"/>
      <c r="AC41" s="150"/>
      <c r="AD41" s="150"/>
      <c r="AE41" s="150"/>
      <c r="AF41" s="150"/>
      <c r="AG41" s="150"/>
      <c r="AH41" s="150"/>
      <c r="AI41" s="150"/>
      <c r="AJ41" s="150"/>
      <c r="AK41" s="150"/>
      <c r="AL41" s="150"/>
    </row>
    <row r="42">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150"/>
      <c r="AI42" s="150"/>
      <c r="AJ42" s="150"/>
      <c r="AK42" s="150"/>
      <c r="AL42" s="150"/>
    </row>
    <row r="43">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c r="AA43" s="150"/>
      <c r="AB43" s="150"/>
      <c r="AC43" s="150"/>
      <c r="AD43" s="150"/>
      <c r="AE43" s="150"/>
      <c r="AF43" s="150"/>
      <c r="AG43" s="150"/>
      <c r="AH43" s="150"/>
      <c r="AI43" s="150"/>
      <c r="AJ43" s="150"/>
      <c r="AK43" s="150"/>
      <c r="AL43" s="150"/>
    </row>
    <row r="44">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row>
    <row r="45">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0"/>
      <c r="AC45" s="150"/>
      <c r="AD45" s="150"/>
      <c r="AE45" s="150"/>
      <c r="AF45" s="150"/>
      <c r="AG45" s="150"/>
      <c r="AH45" s="150"/>
      <c r="AI45" s="150"/>
      <c r="AJ45" s="150"/>
      <c r="AK45" s="150"/>
      <c r="AL45" s="150"/>
    </row>
    <row r="46">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c r="AL46" s="150"/>
    </row>
    <row r="47">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c r="AL47" s="150"/>
    </row>
    <row r="48">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row>
    <row r="49">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0"/>
      <c r="AG49" s="150"/>
      <c r="AH49" s="150"/>
      <c r="AI49" s="150"/>
      <c r="AJ49" s="150"/>
      <c r="AK49" s="150"/>
      <c r="AL49" s="150"/>
    </row>
    <row r="50">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row>
    <row r="5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c r="AA51" s="150"/>
      <c r="AB51" s="150"/>
      <c r="AC51" s="150"/>
      <c r="AD51" s="150"/>
      <c r="AE51" s="150"/>
      <c r="AF51" s="150"/>
      <c r="AG51" s="150"/>
      <c r="AH51" s="150"/>
      <c r="AI51" s="150"/>
      <c r="AJ51" s="150"/>
      <c r="AK51" s="150"/>
      <c r="AL51" s="150"/>
    </row>
    <row r="52">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row>
    <row r="53">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c r="AH53" s="150"/>
      <c r="AI53" s="150"/>
      <c r="AJ53" s="150"/>
      <c r="AK53" s="150"/>
      <c r="AL53" s="150"/>
    </row>
    <row r="54">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row>
    <row r="55">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row>
    <row r="56">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row>
    <row r="57">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c r="AH57" s="150"/>
      <c r="AI57" s="150"/>
      <c r="AJ57" s="150"/>
      <c r="AK57" s="150"/>
      <c r="AL57" s="150"/>
    </row>
    <row r="58">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row>
    <row r="59">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c r="AH59" s="150"/>
      <c r="AI59" s="150"/>
      <c r="AJ59" s="150"/>
      <c r="AK59" s="150"/>
      <c r="AL59" s="150"/>
    </row>
    <row r="60">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row>
    <row r="6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I61" s="150"/>
      <c r="AJ61" s="150"/>
      <c r="AK61" s="150"/>
      <c r="AL61" s="150"/>
    </row>
    <row r="62">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row>
    <row r="6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row>
    <row r="64">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row>
    <row r="65">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I65" s="150"/>
      <c r="AJ65" s="150"/>
      <c r="AK65" s="150"/>
      <c r="AL65" s="150"/>
    </row>
    <row r="66">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150"/>
      <c r="AJ66" s="150"/>
      <c r="AK66" s="150"/>
      <c r="AL66" s="150"/>
    </row>
    <row r="67">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row>
    <row r="68">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row>
    <row r="69">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I69" s="150"/>
      <c r="AJ69" s="150"/>
      <c r="AK69" s="150"/>
      <c r="AL69" s="150"/>
    </row>
    <row r="70">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row>
    <row r="7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I71" s="150"/>
      <c r="AJ71" s="150"/>
      <c r="AK71" s="150"/>
      <c r="AL71" s="150"/>
    </row>
    <row r="7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row>
    <row r="7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c r="AH73" s="150"/>
      <c r="AI73" s="150"/>
      <c r="AJ73" s="150"/>
      <c r="AK73" s="150"/>
      <c r="AL73" s="150"/>
    </row>
    <row r="74">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c r="AH74" s="150"/>
      <c r="AI74" s="150"/>
      <c r="AJ74" s="150"/>
      <c r="AK74" s="150"/>
      <c r="AL74" s="150"/>
    </row>
    <row r="75">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c r="AH75" s="150"/>
      <c r="AI75" s="150"/>
      <c r="AJ75" s="150"/>
      <c r="AK75" s="150"/>
      <c r="AL75" s="150"/>
    </row>
    <row r="76">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c r="AH76" s="150"/>
      <c r="AI76" s="150"/>
      <c r="AJ76" s="150"/>
      <c r="AK76" s="150"/>
      <c r="AL76" s="150"/>
    </row>
    <row r="77">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row>
    <row r="78">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c r="AH78" s="150"/>
      <c r="AI78" s="150"/>
      <c r="AJ78" s="150"/>
      <c r="AK78" s="150"/>
      <c r="AL78" s="150"/>
    </row>
    <row r="79">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c r="AH79" s="150"/>
      <c r="AI79" s="150"/>
      <c r="AJ79" s="150"/>
      <c r="AK79" s="150"/>
      <c r="AL79" s="150"/>
    </row>
    <row r="80">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c r="AH80" s="150"/>
      <c r="AI80" s="150"/>
      <c r="AJ80" s="150"/>
      <c r="AK80" s="150"/>
      <c r="AL80" s="150"/>
    </row>
    <row r="8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c r="AH81" s="150"/>
      <c r="AI81" s="150"/>
      <c r="AJ81" s="150"/>
      <c r="AK81" s="150"/>
      <c r="AL81" s="150"/>
    </row>
    <row r="82">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c r="AH82" s="150"/>
      <c r="AI82" s="150"/>
      <c r="AJ82" s="150"/>
      <c r="AK82" s="150"/>
      <c r="AL82" s="150"/>
    </row>
    <row r="8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c r="AH83" s="150"/>
      <c r="AI83" s="150"/>
      <c r="AJ83" s="150"/>
      <c r="AK83" s="150"/>
      <c r="AL83" s="150"/>
    </row>
    <row r="84">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c r="AH84" s="150"/>
      <c r="AI84" s="150"/>
      <c r="AJ84" s="150"/>
      <c r="AK84" s="150"/>
      <c r="AL84" s="150"/>
    </row>
    <row r="85">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c r="AH85" s="150"/>
      <c r="AI85" s="150"/>
      <c r="AJ85" s="150"/>
      <c r="AK85" s="150"/>
      <c r="AL85" s="150"/>
    </row>
    <row r="86">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c r="AH86" s="150"/>
      <c r="AI86" s="150"/>
      <c r="AJ86" s="150"/>
      <c r="AK86" s="150"/>
      <c r="AL86" s="150"/>
    </row>
    <row r="87">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row>
    <row r="88">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c r="AH88" s="150"/>
      <c r="AI88" s="150"/>
      <c r="AJ88" s="150"/>
      <c r="AK88" s="150"/>
      <c r="AL88" s="150"/>
    </row>
    <row r="89">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c r="AH89" s="150"/>
      <c r="AI89" s="150"/>
      <c r="AJ89" s="150"/>
      <c r="AK89" s="150"/>
      <c r="AL89" s="150"/>
    </row>
    <row r="90">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c r="AH90" s="150"/>
      <c r="AI90" s="150"/>
      <c r="AJ90" s="150"/>
      <c r="AK90" s="150"/>
      <c r="AL90" s="150"/>
    </row>
    <row r="9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c r="AH91" s="150"/>
      <c r="AI91" s="150"/>
      <c r="AJ91" s="150"/>
      <c r="AK91" s="150"/>
      <c r="AL91" s="150"/>
    </row>
    <row r="92">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c r="AH92" s="150"/>
      <c r="AI92" s="150"/>
      <c r="AJ92" s="150"/>
      <c r="AK92" s="150"/>
      <c r="AL92" s="150"/>
    </row>
    <row r="93">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c r="AH93" s="150"/>
      <c r="AI93" s="150"/>
      <c r="AJ93" s="150"/>
      <c r="AK93" s="150"/>
      <c r="AL93" s="150"/>
    </row>
    <row r="94">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c r="AH94" s="150"/>
      <c r="AI94" s="150"/>
      <c r="AJ94" s="150"/>
      <c r="AK94" s="150"/>
      <c r="AL94" s="150"/>
    </row>
    <row r="95">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c r="AH95" s="150"/>
      <c r="AI95" s="150"/>
      <c r="AJ95" s="150"/>
      <c r="AK95" s="150"/>
      <c r="AL95" s="150"/>
    </row>
    <row r="96">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row>
    <row r="97">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c r="AH97" s="150"/>
      <c r="AI97" s="150"/>
      <c r="AJ97" s="150"/>
      <c r="AK97" s="150"/>
      <c r="AL97" s="150"/>
    </row>
    <row r="98">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c r="AH98" s="150"/>
      <c r="AI98" s="150"/>
      <c r="AJ98" s="150"/>
      <c r="AK98" s="150"/>
      <c r="AL98" s="150"/>
    </row>
    <row r="99">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c r="AH99" s="150"/>
      <c r="AI99" s="150"/>
      <c r="AJ99" s="150"/>
      <c r="AK99" s="150"/>
      <c r="AL99" s="150"/>
    </row>
    <row r="100">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c r="AH100" s="150"/>
      <c r="AI100" s="150"/>
      <c r="AJ100" s="150"/>
      <c r="AK100" s="150"/>
      <c r="AL100" s="150"/>
    </row>
    <row r="10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c r="AH101" s="150"/>
      <c r="AI101" s="150"/>
      <c r="AJ101" s="150"/>
      <c r="AK101" s="150"/>
      <c r="AL101" s="150"/>
    </row>
    <row r="102">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c r="AH102" s="150"/>
      <c r="AI102" s="150"/>
      <c r="AJ102" s="150"/>
      <c r="AK102" s="150"/>
      <c r="AL102" s="150"/>
    </row>
    <row r="103">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c r="AH103" s="150"/>
      <c r="AI103" s="150"/>
      <c r="AJ103" s="150"/>
      <c r="AK103" s="150"/>
      <c r="AL103" s="150"/>
    </row>
    <row r="104">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c r="AH104" s="150"/>
      <c r="AI104" s="150"/>
      <c r="AJ104" s="150"/>
      <c r="AK104" s="150"/>
      <c r="AL104" s="150"/>
    </row>
    <row r="105">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c r="AH105" s="150"/>
      <c r="AI105" s="150"/>
      <c r="AJ105" s="150"/>
      <c r="AK105" s="150"/>
      <c r="AL105" s="150"/>
    </row>
    <row r="106">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c r="AH106" s="150"/>
      <c r="AI106" s="150"/>
      <c r="AJ106" s="150"/>
      <c r="AK106" s="150"/>
      <c r="AL106" s="150"/>
    </row>
    <row r="107">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c r="AH107" s="150"/>
      <c r="AI107" s="150"/>
      <c r="AJ107" s="150"/>
      <c r="AK107" s="150"/>
      <c r="AL107" s="150"/>
    </row>
    <row r="108">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c r="AH108" s="150"/>
      <c r="AI108" s="150"/>
      <c r="AJ108" s="150"/>
      <c r="AK108" s="150"/>
      <c r="AL108" s="150"/>
    </row>
    <row r="109">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c r="AH109" s="150"/>
      <c r="AI109" s="150"/>
      <c r="AJ109" s="150"/>
      <c r="AK109" s="150"/>
      <c r="AL109" s="150"/>
    </row>
    <row r="110">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c r="AH110" s="150"/>
      <c r="AI110" s="150"/>
      <c r="AJ110" s="150"/>
      <c r="AK110" s="150"/>
      <c r="AL110" s="150"/>
    </row>
    <row r="11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c r="AH111" s="150"/>
      <c r="AI111" s="150"/>
      <c r="AJ111" s="150"/>
      <c r="AK111" s="150"/>
      <c r="AL111" s="150"/>
    </row>
    <row r="112">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c r="AH112" s="150"/>
      <c r="AI112" s="150"/>
      <c r="AJ112" s="150"/>
      <c r="AK112" s="150"/>
      <c r="AL112" s="150"/>
    </row>
    <row r="11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c r="AH113" s="150"/>
      <c r="AI113" s="150"/>
      <c r="AJ113" s="150"/>
      <c r="AK113" s="150"/>
      <c r="AL113" s="150"/>
    </row>
    <row r="114">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c r="AH114" s="150"/>
      <c r="AI114" s="150"/>
      <c r="AJ114" s="150"/>
      <c r="AK114" s="150"/>
      <c r="AL114" s="150"/>
    </row>
    <row r="115">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c r="AH115" s="150"/>
      <c r="AI115" s="150"/>
      <c r="AJ115" s="150"/>
      <c r="AK115" s="150"/>
      <c r="AL115" s="150"/>
    </row>
    <row r="116">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c r="AH116" s="150"/>
      <c r="AI116" s="150"/>
      <c r="AJ116" s="150"/>
      <c r="AK116" s="150"/>
      <c r="AL116" s="150"/>
    </row>
    <row r="117">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c r="AH117" s="150"/>
      <c r="AI117" s="150"/>
      <c r="AJ117" s="150"/>
      <c r="AK117" s="150"/>
      <c r="AL117" s="150"/>
    </row>
    <row r="118">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c r="AH118" s="150"/>
      <c r="AI118" s="150"/>
      <c r="AJ118" s="150"/>
      <c r="AK118" s="150"/>
      <c r="AL118" s="150"/>
    </row>
    <row r="119">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c r="AH119" s="150"/>
      <c r="AI119" s="150"/>
      <c r="AJ119" s="150"/>
      <c r="AK119" s="150"/>
      <c r="AL119" s="150"/>
    </row>
    <row r="120">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c r="AH120" s="150"/>
      <c r="AI120" s="150"/>
      <c r="AJ120" s="150"/>
      <c r="AK120" s="150"/>
      <c r="AL120" s="150"/>
    </row>
    <row r="12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c r="AH121" s="150"/>
      <c r="AI121" s="150"/>
      <c r="AJ121" s="150"/>
      <c r="AK121" s="150"/>
      <c r="AL121" s="150"/>
    </row>
    <row r="122">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c r="AH122" s="150"/>
      <c r="AI122" s="150"/>
      <c r="AJ122" s="150"/>
      <c r="AK122" s="150"/>
      <c r="AL122" s="150"/>
    </row>
    <row r="12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c r="AH123" s="150"/>
      <c r="AI123" s="150"/>
      <c r="AJ123" s="150"/>
      <c r="AK123" s="150"/>
      <c r="AL123" s="150"/>
    </row>
    <row r="124">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c r="AH124" s="150"/>
      <c r="AI124" s="150"/>
      <c r="AJ124" s="150"/>
      <c r="AK124" s="150"/>
      <c r="AL124" s="150"/>
    </row>
    <row r="125">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c r="AH125" s="150"/>
      <c r="AI125" s="150"/>
      <c r="AJ125" s="150"/>
      <c r="AK125" s="150"/>
      <c r="AL125" s="150"/>
    </row>
    <row r="126">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c r="AH126" s="150"/>
      <c r="AI126" s="150"/>
      <c r="AJ126" s="150"/>
      <c r="AK126" s="150"/>
      <c r="AL126" s="150"/>
    </row>
    <row r="127">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c r="AH127" s="150"/>
      <c r="AI127" s="150"/>
      <c r="AJ127" s="150"/>
      <c r="AK127" s="150"/>
      <c r="AL127" s="150"/>
    </row>
    <row r="128">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c r="AH128" s="150"/>
      <c r="AI128" s="150"/>
      <c r="AJ128" s="150"/>
      <c r="AK128" s="150"/>
      <c r="AL128" s="150"/>
    </row>
    <row r="129">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c r="AH129" s="150"/>
      <c r="AI129" s="150"/>
      <c r="AJ129" s="150"/>
      <c r="AK129" s="150"/>
      <c r="AL129" s="150"/>
    </row>
    <row r="130">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c r="AH130" s="150"/>
      <c r="AI130" s="150"/>
      <c r="AJ130" s="150"/>
      <c r="AK130" s="150"/>
      <c r="AL130" s="150"/>
    </row>
    <row r="13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c r="AH131" s="150"/>
      <c r="AI131" s="150"/>
      <c r="AJ131" s="150"/>
      <c r="AK131" s="150"/>
      <c r="AL131" s="150"/>
    </row>
    <row r="132">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c r="AH132" s="150"/>
      <c r="AI132" s="150"/>
      <c r="AJ132" s="150"/>
      <c r="AK132" s="150"/>
      <c r="AL132" s="150"/>
    </row>
    <row r="13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c r="AH133" s="150"/>
      <c r="AI133" s="150"/>
      <c r="AJ133" s="150"/>
      <c r="AK133" s="150"/>
      <c r="AL133" s="150"/>
    </row>
    <row r="134">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c r="AH134" s="150"/>
      <c r="AI134" s="150"/>
      <c r="AJ134" s="150"/>
      <c r="AK134" s="150"/>
      <c r="AL134" s="150"/>
    </row>
    <row r="135">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c r="AH135" s="150"/>
      <c r="AI135" s="150"/>
      <c r="AJ135" s="150"/>
      <c r="AK135" s="150"/>
      <c r="AL135" s="150"/>
    </row>
    <row r="136">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c r="AH136" s="150"/>
      <c r="AI136" s="150"/>
      <c r="AJ136" s="150"/>
      <c r="AK136" s="150"/>
      <c r="AL136" s="150"/>
    </row>
    <row r="137">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c r="AH137" s="150"/>
      <c r="AI137" s="150"/>
      <c r="AJ137" s="150"/>
      <c r="AK137" s="150"/>
      <c r="AL137" s="150"/>
    </row>
    <row r="138">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c r="AH138" s="150"/>
      <c r="AI138" s="150"/>
      <c r="AJ138" s="150"/>
      <c r="AK138" s="150"/>
      <c r="AL138" s="150"/>
    </row>
    <row r="139">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c r="AH139" s="150"/>
      <c r="AI139" s="150"/>
      <c r="AJ139" s="150"/>
      <c r="AK139" s="150"/>
      <c r="AL139" s="150"/>
    </row>
    <row r="140">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c r="AH140" s="150"/>
      <c r="AI140" s="150"/>
      <c r="AJ140" s="150"/>
      <c r="AK140" s="150"/>
      <c r="AL140" s="150"/>
    </row>
    <row r="14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c r="AH141" s="150"/>
      <c r="AI141" s="150"/>
      <c r="AJ141" s="150"/>
      <c r="AK141" s="150"/>
      <c r="AL141" s="150"/>
    </row>
    <row r="142">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c r="AH142" s="150"/>
      <c r="AI142" s="150"/>
      <c r="AJ142" s="150"/>
      <c r="AK142" s="150"/>
      <c r="AL142" s="150"/>
    </row>
    <row r="14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c r="AH143" s="150"/>
      <c r="AI143" s="150"/>
      <c r="AJ143" s="150"/>
      <c r="AK143" s="150"/>
      <c r="AL143" s="150"/>
    </row>
    <row r="144">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c r="AH144" s="150"/>
      <c r="AI144" s="150"/>
      <c r="AJ144" s="150"/>
      <c r="AK144" s="150"/>
      <c r="AL144" s="150"/>
    </row>
    <row r="145">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0"/>
      <c r="AK145" s="150"/>
      <c r="AL145" s="150"/>
    </row>
    <row r="146">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row>
    <row r="147">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row>
    <row r="148">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c r="AH148" s="150"/>
      <c r="AI148" s="150"/>
      <c r="AJ148" s="150"/>
      <c r="AK148" s="150"/>
      <c r="AL148" s="150"/>
    </row>
    <row r="149">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row>
    <row r="150">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c r="AH150" s="150"/>
      <c r="AI150" s="150"/>
      <c r="AJ150" s="150"/>
      <c r="AK150" s="150"/>
      <c r="AL150" s="150"/>
    </row>
    <row r="15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c r="AH151" s="150"/>
      <c r="AI151" s="150"/>
      <c r="AJ151" s="150"/>
      <c r="AK151" s="150"/>
      <c r="AL151" s="150"/>
    </row>
    <row r="152">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c r="AH152" s="150"/>
      <c r="AI152" s="150"/>
      <c r="AJ152" s="150"/>
      <c r="AK152" s="150"/>
      <c r="AL152" s="150"/>
    </row>
    <row r="15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row>
    <row r="154">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0"/>
      <c r="AI154" s="150"/>
      <c r="AJ154" s="150"/>
      <c r="AK154" s="150"/>
      <c r="AL154" s="150"/>
    </row>
    <row r="155">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row>
    <row r="156">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row>
    <row r="157">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c r="AH157" s="150"/>
      <c r="AI157" s="150"/>
      <c r="AJ157" s="150"/>
      <c r="AK157" s="150"/>
      <c r="AL157" s="150"/>
    </row>
    <row r="158">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c r="AH158" s="150"/>
      <c r="AI158" s="150"/>
      <c r="AJ158" s="150"/>
      <c r="AK158" s="150"/>
      <c r="AL158" s="150"/>
    </row>
    <row r="159">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c r="AH159" s="150"/>
      <c r="AI159" s="150"/>
      <c r="AJ159" s="150"/>
      <c r="AK159" s="150"/>
      <c r="AL159" s="150"/>
    </row>
    <row r="160">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row>
    <row r="16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c r="AH161" s="150"/>
      <c r="AI161" s="150"/>
      <c r="AJ161" s="150"/>
      <c r="AK161" s="150"/>
      <c r="AL161" s="150"/>
    </row>
    <row r="162">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row>
    <row r="16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row>
    <row r="164">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row>
    <row r="165">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row>
    <row r="166">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row>
    <row r="167">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row>
    <row r="168">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row>
    <row r="169">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row>
    <row r="170">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c r="AH170" s="150"/>
      <c r="AI170" s="150"/>
      <c r="AJ170" s="150"/>
      <c r="AK170" s="150"/>
      <c r="AL170" s="150"/>
    </row>
    <row r="17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row>
    <row r="172">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c r="AH172" s="150"/>
      <c r="AI172" s="150"/>
      <c r="AJ172" s="150"/>
      <c r="AK172" s="150"/>
      <c r="AL172" s="150"/>
    </row>
    <row r="17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c r="AH173" s="150"/>
      <c r="AI173" s="150"/>
      <c r="AJ173" s="150"/>
      <c r="AK173" s="150"/>
      <c r="AL173" s="150"/>
    </row>
    <row r="174">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row>
    <row r="175">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c r="AH175" s="150"/>
      <c r="AI175" s="150"/>
      <c r="AJ175" s="150"/>
      <c r="AK175" s="150"/>
      <c r="AL175" s="150"/>
    </row>
    <row r="176">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row>
    <row r="177">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c r="AH177" s="150"/>
      <c r="AI177" s="150"/>
      <c r="AJ177" s="150"/>
      <c r="AK177" s="150"/>
      <c r="AL177" s="150"/>
    </row>
    <row r="178">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row>
    <row r="179">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c r="AH179" s="150"/>
      <c r="AI179" s="150"/>
      <c r="AJ179" s="150"/>
      <c r="AK179" s="150"/>
      <c r="AL179" s="150"/>
    </row>
    <row r="180">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c r="AH180" s="150"/>
      <c r="AI180" s="150"/>
      <c r="AJ180" s="150"/>
      <c r="AK180" s="150"/>
      <c r="AL180" s="150"/>
    </row>
    <row r="18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c r="AH181" s="150"/>
      <c r="AI181" s="150"/>
      <c r="AJ181" s="150"/>
      <c r="AK181" s="150"/>
      <c r="AL181" s="150"/>
    </row>
    <row r="182">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c r="AH182" s="150"/>
      <c r="AI182" s="150"/>
      <c r="AJ182" s="150"/>
      <c r="AK182" s="150"/>
      <c r="AL182" s="150"/>
    </row>
    <row r="18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row>
    <row r="184">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row>
    <row r="185">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row>
    <row r="186">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row>
    <row r="187">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row>
    <row r="188">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row>
    <row r="189">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row>
    <row r="190">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row>
    <row r="19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row>
    <row r="192">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row>
    <row r="19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row>
    <row r="194">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row>
    <row r="195">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row>
    <row r="196">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row>
    <row r="197">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row>
    <row r="198">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row>
    <row r="199">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row>
    <row r="200">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row>
    <row r="20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row>
    <row r="202">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row>
    <row r="2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row>
    <row r="204">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row>
    <row r="205">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row>
    <row r="206">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row>
    <row r="207">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row>
    <row r="208">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row>
    <row r="209">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row>
    <row r="210">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row>
    <row r="21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row>
    <row r="212">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row>
    <row r="21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row>
    <row r="214">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row>
    <row r="215">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row>
    <row r="216">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row>
    <row r="217">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row>
    <row r="218">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row>
    <row r="219">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row>
    <row r="220">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c r="AH220" s="150"/>
      <c r="AI220" s="150"/>
      <c r="AJ220" s="150"/>
      <c r="AK220" s="150"/>
      <c r="AL220" s="150"/>
    </row>
    <row r="22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c r="AH221" s="150"/>
      <c r="AI221" s="150"/>
      <c r="AJ221" s="150"/>
      <c r="AK221" s="150"/>
      <c r="AL221" s="150"/>
    </row>
    <row r="222">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c r="AH222" s="150"/>
      <c r="AI222" s="150"/>
      <c r="AJ222" s="150"/>
      <c r="AK222" s="150"/>
      <c r="AL222" s="150"/>
    </row>
    <row r="22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c r="AH223" s="150"/>
      <c r="AI223" s="150"/>
      <c r="AJ223" s="150"/>
      <c r="AK223" s="150"/>
      <c r="AL223" s="150"/>
    </row>
    <row r="224">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row>
    <row r="225">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c r="AH225" s="150"/>
      <c r="AI225" s="150"/>
      <c r="AJ225" s="150"/>
      <c r="AK225" s="150"/>
      <c r="AL225" s="150"/>
    </row>
    <row r="226">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c r="AH226" s="150"/>
      <c r="AI226" s="150"/>
      <c r="AJ226" s="150"/>
      <c r="AK226" s="150"/>
      <c r="AL226" s="150"/>
    </row>
    <row r="227">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row>
    <row r="228">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row>
    <row r="229">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c r="AH229" s="150"/>
      <c r="AI229" s="150"/>
      <c r="AJ229" s="150"/>
      <c r="AK229" s="150"/>
      <c r="AL229" s="150"/>
    </row>
    <row r="230">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row>
    <row r="23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0"/>
      <c r="AL231" s="150"/>
    </row>
    <row r="232">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c r="AH232" s="150"/>
      <c r="AI232" s="150"/>
      <c r="AJ232" s="150"/>
      <c r="AK232" s="150"/>
      <c r="AL232" s="150"/>
    </row>
    <row r="23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c r="AH233" s="150"/>
      <c r="AI233" s="150"/>
      <c r="AJ233" s="150"/>
      <c r="AK233" s="150"/>
      <c r="AL233" s="150"/>
    </row>
    <row r="234">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c r="AH234" s="150"/>
      <c r="AI234" s="150"/>
      <c r="AJ234" s="150"/>
      <c r="AK234" s="150"/>
      <c r="AL234" s="150"/>
    </row>
    <row r="235">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c r="AH235" s="150"/>
      <c r="AI235" s="150"/>
      <c r="AJ235" s="150"/>
      <c r="AK235" s="150"/>
      <c r="AL235" s="150"/>
    </row>
    <row r="236">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c r="AH236" s="150"/>
      <c r="AI236" s="150"/>
      <c r="AJ236" s="150"/>
      <c r="AK236" s="150"/>
      <c r="AL236" s="150"/>
    </row>
    <row r="237">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c r="AH237" s="150"/>
      <c r="AI237" s="150"/>
      <c r="AJ237" s="150"/>
      <c r="AK237" s="150"/>
      <c r="AL237" s="150"/>
    </row>
    <row r="238">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c r="AH238" s="150"/>
      <c r="AI238" s="150"/>
      <c r="AJ238" s="150"/>
      <c r="AK238" s="150"/>
      <c r="AL238" s="150"/>
    </row>
    <row r="239">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row>
    <row r="240">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c r="AH240" s="150"/>
      <c r="AI240" s="150"/>
      <c r="AJ240" s="150"/>
      <c r="AK240" s="150"/>
      <c r="AL240" s="150"/>
    </row>
    <row r="24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row>
    <row r="242">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row>
    <row r="24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row>
    <row r="244">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row>
    <row r="245">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c r="AH245" s="150"/>
      <c r="AI245" s="150"/>
      <c r="AJ245" s="150"/>
      <c r="AK245" s="150"/>
      <c r="AL245" s="150"/>
    </row>
    <row r="246">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c r="AH246" s="150"/>
      <c r="AI246" s="150"/>
      <c r="AJ246" s="150"/>
      <c r="AK246" s="150"/>
      <c r="AL246" s="150"/>
    </row>
    <row r="247">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c r="AH247" s="150"/>
      <c r="AI247" s="150"/>
      <c r="AJ247" s="150"/>
      <c r="AK247" s="150"/>
      <c r="AL247" s="150"/>
    </row>
    <row r="248">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c r="AH248" s="150"/>
      <c r="AI248" s="150"/>
      <c r="AJ248" s="150"/>
      <c r="AK248" s="150"/>
      <c r="AL248" s="150"/>
    </row>
    <row r="249">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c r="AH249" s="150"/>
      <c r="AI249" s="150"/>
      <c r="AJ249" s="150"/>
      <c r="AK249" s="150"/>
      <c r="AL249" s="150"/>
    </row>
    <row r="250">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c r="AH250" s="150"/>
      <c r="AI250" s="150"/>
      <c r="AJ250" s="150"/>
      <c r="AK250" s="150"/>
      <c r="AL250" s="150"/>
    </row>
    <row r="25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c r="AH251" s="150"/>
      <c r="AI251" s="150"/>
      <c r="AJ251" s="150"/>
      <c r="AK251" s="150"/>
      <c r="AL251" s="150"/>
    </row>
    <row r="252">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c r="AH252" s="150"/>
      <c r="AI252" s="150"/>
      <c r="AJ252" s="150"/>
      <c r="AK252" s="150"/>
      <c r="AL252" s="150"/>
    </row>
    <row r="25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c r="AH253" s="150"/>
      <c r="AI253" s="150"/>
      <c r="AJ253" s="150"/>
      <c r="AK253" s="150"/>
      <c r="AL253" s="150"/>
    </row>
    <row r="254">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c r="AH254" s="150"/>
      <c r="AI254" s="150"/>
      <c r="AJ254" s="150"/>
      <c r="AK254" s="150"/>
      <c r="AL254" s="150"/>
    </row>
    <row r="255">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c r="AH255" s="150"/>
      <c r="AI255" s="150"/>
      <c r="AJ255" s="150"/>
      <c r="AK255" s="150"/>
      <c r="AL255" s="150"/>
    </row>
    <row r="256">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c r="AH256" s="150"/>
      <c r="AI256" s="150"/>
      <c r="AJ256" s="150"/>
      <c r="AK256" s="150"/>
      <c r="AL256" s="150"/>
    </row>
    <row r="257">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c r="AH257" s="150"/>
      <c r="AI257" s="150"/>
      <c r="AJ257" s="150"/>
      <c r="AK257" s="150"/>
      <c r="AL257" s="150"/>
    </row>
    <row r="258">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row>
    <row r="259">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c r="AH259" s="150"/>
      <c r="AI259" s="150"/>
      <c r="AJ259" s="150"/>
      <c r="AK259" s="150"/>
      <c r="AL259" s="150"/>
    </row>
    <row r="260">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c r="AH260" s="150"/>
      <c r="AI260" s="150"/>
      <c r="AJ260" s="150"/>
      <c r="AK260" s="150"/>
      <c r="AL260" s="150"/>
    </row>
    <row r="26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c r="AH261" s="150"/>
      <c r="AI261" s="150"/>
      <c r="AJ261" s="150"/>
      <c r="AK261" s="150"/>
      <c r="AL261" s="150"/>
    </row>
    <row r="262">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c r="AH262" s="150"/>
      <c r="AI262" s="150"/>
      <c r="AJ262" s="150"/>
      <c r="AK262" s="150"/>
      <c r="AL262" s="150"/>
    </row>
    <row r="26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c r="AH263" s="150"/>
      <c r="AI263" s="150"/>
      <c r="AJ263" s="150"/>
      <c r="AK263" s="150"/>
      <c r="AL263" s="150"/>
    </row>
    <row r="264">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c r="AH264" s="150"/>
      <c r="AI264" s="150"/>
      <c r="AJ264" s="150"/>
      <c r="AK264" s="150"/>
      <c r="AL264" s="150"/>
    </row>
    <row r="265">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c r="AH265" s="150"/>
      <c r="AI265" s="150"/>
      <c r="AJ265" s="150"/>
      <c r="AK265" s="150"/>
      <c r="AL265" s="150"/>
    </row>
    <row r="266">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c r="AH266" s="150"/>
      <c r="AI266" s="150"/>
      <c r="AJ266" s="150"/>
      <c r="AK266" s="150"/>
      <c r="AL266" s="150"/>
    </row>
    <row r="267">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c r="AH267" s="150"/>
      <c r="AI267" s="150"/>
      <c r="AJ267" s="150"/>
      <c r="AK267" s="150"/>
      <c r="AL267" s="150"/>
    </row>
    <row r="268">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c r="AH268" s="150"/>
      <c r="AI268" s="150"/>
      <c r="AJ268" s="150"/>
      <c r="AK268" s="150"/>
      <c r="AL268" s="150"/>
    </row>
    <row r="269">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c r="AH269" s="150"/>
      <c r="AI269" s="150"/>
      <c r="AJ269" s="150"/>
      <c r="AK269" s="150"/>
      <c r="AL269" s="150"/>
    </row>
    <row r="270">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row>
    <row r="27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c r="AH271" s="150"/>
      <c r="AI271" s="150"/>
      <c r="AJ271" s="150"/>
      <c r="AK271" s="150"/>
      <c r="AL271" s="150"/>
    </row>
    <row r="272">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row>
    <row r="27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row>
    <row r="274">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c r="AH274" s="150"/>
      <c r="AI274" s="150"/>
      <c r="AJ274" s="150"/>
      <c r="AK274" s="150"/>
      <c r="AL274" s="150"/>
    </row>
    <row r="275">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row>
    <row r="276">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c r="AH276" s="150"/>
      <c r="AI276" s="150"/>
      <c r="AJ276" s="150"/>
      <c r="AK276" s="150"/>
      <c r="AL276" s="150"/>
    </row>
    <row r="277">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c r="AH277" s="150"/>
      <c r="AI277" s="150"/>
      <c r="AJ277" s="150"/>
      <c r="AK277" s="150"/>
      <c r="AL277" s="150"/>
    </row>
    <row r="278">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c r="AH278" s="150"/>
      <c r="AI278" s="150"/>
      <c r="AJ278" s="150"/>
      <c r="AK278" s="150"/>
      <c r="AL278" s="150"/>
    </row>
    <row r="279">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row>
    <row r="280">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c r="AH280" s="150"/>
      <c r="AI280" s="150"/>
      <c r="AJ280" s="150"/>
      <c r="AK280" s="150"/>
      <c r="AL280" s="150"/>
    </row>
    <row r="28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c r="AH281" s="150"/>
      <c r="AI281" s="150"/>
      <c r="AJ281" s="150"/>
      <c r="AK281" s="150"/>
      <c r="AL281" s="150"/>
    </row>
    <row r="282">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0"/>
      <c r="AL282" s="150"/>
    </row>
    <row r="28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row>
    <row r="284">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row>
    <row r="285">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row>
    <row r="286">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row>
    <row r="287">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row>
    <row r="288">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row>
    <row r="289">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row>
    <row r="290">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row>
    <row r="29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row>
    <row r="292">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row>
    <row r="29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row>
    <row r="294">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row>
    <row r="295">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row>
    <row r="296">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row>
    <row r="297">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row>
    <row r="298">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row>
    <row r="299">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row>
    <row r="300">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row>
    <row r="30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row>
    <row r="302">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row>
    <row r="3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row>
    <row r="304">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row>
    <row r="305">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row>
    <row r="306">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row>
    <row r="307">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row>
    <row r="308">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c r="AH308" s="150"/>
      <c r="AI308" s="150"/>
      <c r="AJ308" s="150"/>
      <c r="AK308" s="150"/>
      <c r="AL308" s="150"/>
    </row>
    <row r="309">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c r="AH309" s="150"/>
      <c r="AI309" s="150"/>
      <c r="AJ309" s="150"/>
      <c r="AK309" s="150"/>
      <c r="AL309" s="150"/>
    </row>
    <row r="310">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c r="AH310" s="150"/>
      <c r="AI310" s="150"/>
      <c r="AJ310" s="150"/>
      <c r="AK310" s="150"/>
      <c r="AL310" s="150"/>
    </row>
    <row r="31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c r="AH311" s="150"/>
      <c r="AI311" s="150"/>
      <c r="AJ311" s="150"/>
      <c r="AK311" s="150"/>
      <c r="AL311" s="150"/>
    </row>
    <row r="312">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c r="AH312" s="150"/>
      <c r="AI312" s="150"/>
      <c r="AJ312" s="150"/>
      <c r="AK312" s="150"/>
      <c r="AL312" s="150"/>
    </row>
    <row r="31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c r="AH313" s="150"/>
      <c r="AI313" s="150"/>
      <c r="AJ313" s="150"/>
      <c r="AK313" s="150"/>
      <c r="AL313" s="150"/>
    </row>
    <row r="314">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c r="AH314" s="150"/>
      <c r="AI314" s="150"/>
      <c r="AJ314" s="150"/>
      <c r="AK314" s="150"/>
      <c r="AL314" s="150"/>
    </row>
    <row r="315">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row>
    <row r="316">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row>
    <row r="317">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row>
    <row r="318">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row>
    <row r="319">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row>
    <row r="320">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row>
    <row r="32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row>
    <row r="322">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row>
    <row r="32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row>
    <row r="324">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row>
    <row r="325">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row>
    <row r="326">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row>
    <row r="327">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row>
    <row r="328">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row>
    <row r="329">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row>
    <row r="330">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c r="AH330" s="150"/>
      <c r="AI330" s="150"/>
      <c r="AJ330" s="150"/>
      <c r="AK330" s="150"/>
      <c r="AL330" s="150"/>
    </row>
    <row r="33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row>
    <row r="332">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row>
    <row r="33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0"/>
      <c r="AI333" s="150"/>
      <c r="AJ333" s="150"/>
      <c r="AK333" s="150"/>
      <c r="AL333" s="150"/>
    </row>
    <row r="334">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c r="AH334" s="150"/>
      <c r="AI334" s="150"/>
      <c r="AJ334" s="150"/>
      <c r="AK334" s="150"/>
      <c r="AL334" s="150"/>
    </row>
    <row r="335">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c r="AH335" s="150"/>
      <c r="AI335" s="150"/>
      <c r="AJ335" s="150"/>
      <c r="AK335" s="150"/>
      <c r="AL335" s="150"/>
    </row>
    <row r="336">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c r="AH336" s="150"/>
      <c r="AI336" s="150"/>
      <c r="AJ336" s="150"/>
      <c r="AK336" s="150"/>
      <c r="AL336" s="150"/>
    </row>
    <row r="337">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c r="AH337" s="150"/>
      <c r="AI337" s="150"/>
      <c r="AJ337" s="150"/>
      <c r="AK337" s="150"/>
      <c r="AL337" s="150"/>
    </row>
    <row r="338">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c r="AH338" s="150"/>
      <c r="AI338" s="150"/>
      <c r="AJ338" s="150"/>
      <c r="AK338" s="150"/>
      <c r="AL338" s="150"/>
    </row>
    <row r="339">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c r="AH339" s="150"/>
      <c r="AI339" s="150"/>
      <c r="AJ339" s="150"/>
      <c r="AK339" s="150"/>
      <c r="AL339" s="150"/>
    </row>
    <row r="340">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c r="AH340" s="150"/>
      <c r="AI340" s="150"/>
      <c r="AJ340" s="150"/>
      <c r="AK340" s="150"/>
      <c r="AL340" s="150"/>
    </row>
    <row r="34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c r="AH341" s="150"/>
      <c r="AI341" s="150"/>
      <c r="AJ341" s="150"/>
      <c r="AK341" s="150"/>
      <c r="AL341" s="150"/>
    </row>
    <row r="342">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c r="AH342" s="150"/>
      <c r="AI342" s="150"/>
      <c r="AJ342" s="150"/>
      <c r="AK342" s="150"/>
      <c r="AL342" s="150"/>
    </row>
    <row r="34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c r="AH343" s="150"/>
      <c r="AI343" s="150"/>
      <c r="AJ343" s="150"/>
      <c r="AK343" s="150"/>
      <c r="AL343" s="150"/>
    </row>
    <row r="344">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c r="AH344" s="150"/>
      <c r="AI344" s="150"/>
      <c r="AJ344" s="150"/>
      <c r="AK344" s="150"/>
      <c r="AL344" s="150"/>
    </row>
    <row r="345">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c r="AH345" s="150"/>
      <c r="AI345" s="150"/>
      <c r="AJ345" s="150"/>
      <c r="AK345" s="150"/>
      <c r="AL345" s="150"/>
    </row>
    <row r="346">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c r="AH346" s="150"/>
      <c r="AI346" s="150"/>
      <c r="AJ346" s="150"/>
      <c r="AK346" s="150"/>
      <c r="AL346" s="150"/>
    </row>
    <row r="347">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c r="AH347" s="150"/>
      <c r="AI347" s="150"/>
      <c r="AJ347" s="150"/>
      <c r="AK347" s="150"/>
      <c r="AL347" s="150"/>
    </row>
    <row r="348">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c r="AH348" s="150"/>
      <c r="AI348" s="150"/>
      <c r="AJ348" s="150"/>
      <c r="AK348" s="150"/>
      <c r="AL348" s="150"/>
    </row>
    <row r="349">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c r="AH349" s="150"/>
      <c r="AI349" s="150"/>
      <c r="AJ349" s="150"/>
      <c r="AK349" s="150"/>
      <c r="AL349" s="150"/>
    </row>
    <row r="350">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c r="AH350" s="150"/>
      <c r="AI350" s="150"/>
      <c r="AJ350" s="150"/>
      <c r="AK350" s="150"/>
      <c r="AL350" s="150"/>
    </row>
    <row r="35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c r="AH351" s="150"/>
      <c r="AI351" s="150"/>
      <c r="AJ351" s="150"/>
      <c r="AK351" s="150"/>
      <c r="AL351" s="150"/>
    </row>
    <row r="352">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c r="AH352" s="150"/>
      <c r="AI352" s="150"/>
      <c r="AJ352" s="150"/>
      <c r="AK352" s="150"/>
      <c r="AL352" s="150"/>
    </row>
    <row r="35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c r="AH353" s="150"/>
      <c r="AI353" s="150"/>
      <c r="AJ353" s="150"/>
      <c r="AK353" s="150"/>
      <c r="AL353" s="150"/>
    </row>
    <row r="354">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c r="AH354" s="150"/>
      <c r="AI354" s="150"/>
      <c r="AJ354" s="150"/>
      <c r="AK354" s="150"/>
      <c r="AL354" s="150"/>
    </row>
    <row r="355">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c r="AH355" s="150"/>
      <c r="AI355" s="150"/>
      <c r="AJ355" s="150"/>
      <c r="AK355" s="150"/>
      <c r="AL355" s="150"/>
    </row>
    <row r="356">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c r="AH356" s="150"/>
      <c r="AI356" s="150"/>
      <c r="AJ356" s="150"/>
      <c r="AK356" s="150"/>
      <c r="AL356" s="150"/>
    </row>
    <row r="357">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c r="AH357" s="150"/>
      <c r="AI357" s="150"/>
      <c r="AJ357" s="150"/>
      <c r="AK357" s="150"/>
      <c r="AL357" s="150"/>
    </row>
    <row r="358">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c r="AH358" s="150"/>
      <c r="AI358" s="150"/>
      <c r="AJ358" s="150"/>
      <c r="AK358" s="150"/>
      <c r="AL358" s="150"/>
    </row>
    <row r="359">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c r="AH359" s="150"/>
      <c r="AI359" s="150"/>
      <c r="AJ359" s="150"/>
      <c r="AK359" s="150"/>
      <c r="AL359" s="150"/>
    </row>
    <row r="360">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c r="AH360" s="150"/>
      <c r="AI360" s="150"/>
      <c r="AJ360" s="150"/>
      <c r="AK360" s="150"/>
      <c r="AL360" s="150"/>
    </row>
    <row r="36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c r="AH361" s="150"/>
      <c r="AI361" s="150"/>
      <c r="AJ361" s="150"/>
      <c r="AK361" s="150"/>
      <c r="AL361" s="150"/>
    </row>
    <row r="36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c r="AH362" s="150"/>
      <c r="AI362" s="150"/>
      <c r="AJ362" s="150"/>
      <c r="AK362" s="150"/>
      <c r="AL362" s="150"/>
    </row>
    <row r="36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c r="AH363" s="150"/>
      <c r="AI363" s="150"/>
      <c r="AJ363" s="150"/>
      <c r="AK363" s="150"/>
      <c r="AL363" s="150"/>
    </row>
    <row r="364">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c r="AH364" s="150"/>
      <c r="AI364" s="150"/>
      <c r="AJ364" s="150"/>
      <c r="AK364" s="150"/>
      <c r="AL364" s="150"/>
    </row>
    <row r="365">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c r="AH365" s="150"/>
      <c r="AI365" s="150"/>
      <c r="AJ365" s="150"/>
      <c r="AK365" s="150"/>
      <c r="AL365" s="150"/>
    </row>
    <row r="366">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c r="AH366" s="150"/>
      <c r="AI366" s="150"/>
      <c r="AJ366" s="150"/>
      <c r="AK366" s="150"/>
      <c r="AL366" s="150"/>
    </row>
    <row r="367">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c r="AH367" s="150"/>
      <c r="AI367" s="150"/>
      <c r="AJ367" s="150"/>
      <c r="AK367" s="150"/>
      <c r="AL367" s="150"/>
    </row>
    <row r="368">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c r="AH368" s="150"/>
      <c r="AI368" s="150"/>
      <c r="AJ368" s="150"/>
      <c r="AK368" s="150"/>
      <c r="AL368" s="150"/>
    </row>
    <row r="369">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c r="AH369" s="150"/>
      <c r="AI369" s="150"/>
      <c r="AJ369" s="150"/>
      <c r="AK369" s="150"/>
      <c r="AL369" s="150"/>
    </row>
    <row r="370">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c r="AH370" s="150"/>
      <c r="AI370" s="150"/>
      <c r="AJ370" s="150"/>
      <c r="AK370" s="150"/>
      <c r="AL370" s="150"/>
    </row>
    <row r="37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c r="AH371" s="150"/>
      <c r="AI371" s="150"/>
      <c r="AJ371" s="150"/>
      <c r="AK371" s="150"/>
      <c r="AL371" s="150"/>
    </row>
    <row r="37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c r="AH372" s="150"/>
      <c r="AI372" s="150"/>
      <c r="AJ372" s="150"/>
      <c r="AK372" s="150"/>
      <c r="AL372" s="150"/>
    </row>
    <row r="37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c r="AH373" s="150"/>
      <c r="AI373" s="150"/>
      <c r="AJ373" s="150"/>
      <c r="AK373" s="150"/>
      <c r="AL373" s="150"/>
    </row>
    <row r="374">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c r="AH374" s="150"/>
      <c r="AI374" s="150"/>
      <c r="AJ374" s="150"/>
      <c r="AK374" s="150"/>
      <c r="AL374" s="150"/>
    </row>
    <row r="375">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c r="AH375" s="150"/>
      <c r="AI375" s="150"/>
      <c r="AJ375" s="150"/>
      <c r="AK375" s="150"/>
      <c r="AL375" s="150"/>
    </row>
    <row r="376">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c r="AH376" s="150"/>
      <c r="AI376" s="150"/>
      <c r="AJ376" s="150"/>
      <c r="AK376" s="150"/>
      <c r="AL376" s="150"/>
    </row>
    <row r="377">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c r="AH377" s="150"/>
      <c r="AI377" s="150"/>
      <c r="AJ377" s="150"/>
      <c r="AK377" s="150"/>
      <c r="AL377" s="150"/>
    </row>
    <row r="378">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c r="AH378" s="150"/>
      <c r="AI378" s="150"/>
      <c r="AJ378" s="150"/>
      <c r="AK378" s="150"/>
      <c r="AL378" s="150"/>
    </row>
    <row r="379">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c r="AH379" s="150"/>
      <c r="AI379" s="150"/>
      <c r="AJ379" s="150"/>
      <c r="AK379" s="150"/>
      <c r="AL379" s="150"/>
    </row>
    <row r="380">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c r="AH380" s="150"/>
      <c r="AI380" s="150"/>
      <c r="AJ380" s="150"/>
      <c r="AK380" s="150"/>
      <c r="AL380" s="150"/>
    </row>
    <row r="38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c r="AH381" s="150"/>
      <c r="AI381" s="150"/>
      <c r="AJ381" s="150"/>
      <c r="AK381" s="150"/>
      <c r="AL381" s="150"/>
    </row>
    <row r="38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c r="AH382" s="150"/>
      <c r="AI382" s="150"/>
      <c r="AJ382" s="150"/>
      <c r="AK382" s="150"/>
      <c r="AL382" s="150"/>
    </row>
    <row r="38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c r="AH383" s="150"/>
      <c r="AI383" s="150"/>
      <c r="AJ383" s="150"/>
      <c r="AK383" s="150"/>
      <c r="AL383" s="150"/>
    </row>
    <row r="384">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c r="AH384" s="150"/>
      <c r="AI384" s="150"/>
      <c r="AJ384" s="150"/>
      <c r="AK384" s="150"/>
      <c r="AL384" s="150"/>
    </row>
    <row r="385">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c r="AH385" s="150"/>
      <c r="AI385" s="150"/>
      <c r="AJ385" s="150"/>
      <c r="AK385" s="150"/>
      <c r="AL385" s="150"/>
    </row>
    <row r="386">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c r="AH386" s="150"/>
      <c r="AI386" s="150"/>
      <c r="AJ386" s="150"/>
      <c r="AK386" s="150"/>
      <c r="AL386" s="150"/>
    </row>
    <row r="387">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c r="AH387" s="150"/>
      <c r="AI387" s="150"/>
      <c r="AJ387" s="150"/>
      <c r="AK387" s="150"/>
      <c r="AL387" s="150"/>
    </row>
    <row r="388">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c r="AI388" s="150"/>
      <c r="AJ388" s="150"/>
      <c r="AK388" s="150"/>
      <c r="AL388" s="150"/>
    </row>
    <row r="389">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c r="AH389" s="150"/>
      <c r="AI389" s="150"/>
      <c r="AJ389" s="150"/>
      <c r="AK389" s="150"/>
      <c r="AL389" s="150"/>
    </row>
    <row r="390">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c r="AH390" s="150"/>
      <c r="AI390" s="150"/>
      <c r="AJ390" s="150"/>
      <c r="AK390" s="150"/>
      <c r="AL390" s="150"/>
    </row>
    <row r="39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c r="AH391" s="150"/>
      <c r="AI391" s="150"/>
      <c r="AJ391" s="150"/>
      <c r="AK391" s="150"/>
      <c r="AL391" s="150"/>
    </row>
    <row r="39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c r="AH392" s="150"/>
      <c r="AI392" s="150"/>
      <c r="AJ392" s="150"/>
      <c r="AK392" s="150"/>
      <c r="AL392" s="150"/>
    </row>
    <row r="39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c r="AH393" s="150"/>
      <c r="AI393" s="150"/>
      <c r="AJ393" s="150"/>
      <c r="AK393" s="150"/>
      <c r="AL393" s="150"/>
    </row>
    <row r="394">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c r="AH394" s="150"/>
      <c r="AI394" s="150"/>
      <c r="AJ394" s="150"/>
      <c r="AK394" s="150"/>
      <c r="AL394" s="150"/>
    </row>
    <row r="395">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c r="AH395" s="150"/>
      <c r="AI395" s="150"/>
      <c r="AJ395" s="150"/>
      <c r="AK395" s="150"/>
      <c r="AL395" s="150"/>
    </row>
    <row r="396">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c r="AH396" s="150"/>
      <c r="AI396" s="150"/>
      <c r="AJ396" s="150"/>
      <c r="AK396" s="150"/>
      <c r="AL396" s="150"/>
    </row>
    <row r="397">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c r="AH397" s="150"/>
      <c r="AI397" s="150"/>
      <c r="AJ397" s="150"/>
      <c r="AK397" s="150"/>
      <c r="AL397" s="150"/>
    </row>
    <row r="398">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c r="AH398" s="150"/>
      <c r="AI398" s="150"/>
      <c r="AJ398" s="150"/>
      <c r="AK398" s="150"/>
      <c r="AL398" s="150"/>
    </row>
    <row r="399">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c r="AH399" s="150"/>
      <c r="AI399" s="150"/>
      <c r="AJ399" s="150"/>
      <c r="AK399" s="150"/>
      <c r="AL399" s="150"/>
    </row>
    <row r="400">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c r="AH400" s="150"/>
      <c r="AI400" s="150"/>
      <c r="AJ400" s="150"/>
      <c r="AK400" s="150"/>
      <c r="AL400" s="150"/>
    </row>
    <row r="40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c r="AH401" s="150"/>
      <c r="AI401" s="150"/>
      <c r="AJ401" s="150"/>
      <c r="AK401" s="150"/>
      <c r="AL401" s="150"/>
    </row>
    <row r="4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c r="AH402" s="150"/>
      <c r="AI402" s="150"/>
      <c r="AJ402" s="150"/>
      <c r="AK402" s="150"/>
      <c r="AL402" s="150"/>
    </row>
    <row r="4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c r="AH403" s="150"/>
      <c r="AI403" s="150"/>
      <c r="AJ403" s="150"/>
      <c r="AK403" s="150"/>
      <c r="AL403" s="150"/>
    </row>
    <row r="404">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c r="AH404" s="150"/>
      <c r="AI404" s="150"/>
      <c r="AJ404" s="150"/>
      <c r="AK404" s="150"/>
      <c r="AL404" s="150"/>
    </row>
    <row r="405">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c r="AH405" s="150"/>
      <c r="AI405" s="150"/>
      <c r="AJ405" s="150"/>
      <c r="AK405" s="150"/>
      <c r="AL405" s="150"/>
    </row>
    <row r="406">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c r="AH406" s="150"/>
      <c r="AI406" s="150"/>
      <c r="AJ406" s="150"/>
      <c r="AK406" s="150"/>
      <c r="AL406" s="150"/>
    </row>
    <row r="407">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c r="AH407" s="150"/>
      <c r="AI407" s="150"/>
      <c r="AJ407" s="150"/>
      <c r="AK407" s="150"/>
      <c r="AL407" s="150"/>
    </row>
    <row r="408">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c r="AH408" s="150"/>
      <c r="AI408" s="150"/>
      <c r="AJ408" s="150"/>
      <c r="AK408" s="150"/>
      <c r="AL408" s="150"/>
    </row>
    <row r="409">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c r="AH409" s="150"/>
      <c r="AI409" s="150"/>
      <c r="AJ409" s="150"/>
      <c r="AK409" s="150"/>
      <c r="AL409" s="150"/>
    </row>
    <row r="410">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c r="AH410" s="150"/>
      <c r="AI410" s="150"/>
      <c r="AJ410" s="150"/>
      <c r="AK410" s="150"/>
      <c r="AL410" s="150"/>
    </row>
    <row r="41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c r="AH411" s="150"/>
      <c r="AI411" s="150"/>
      <c r="AJ411" s="150"/>
      <c r="AK411" s="150"/>
      <c r="AL411" s="150"/>
    </row>
    <row r="41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c r="AH412" s="150"/>
      <c r="AI412" s="150"/>
      <c r="AJ412" s="150"/>
      <c r="AK412" s="150"/>
      <c r="AL412" s="150"/>
    </row>
    <row r="41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c r="AH413" s="150"/>
      <c r="AI413" s="150"/>
      <c r="AJ413" s="150"/>
      <c r="AK413" s="150"/>
      <c r="AL413" s="150"/>
    </row>
    <row r="414">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c r="AH414" s="150"/>
      <c r="AI414" s="150"/>
      <c r="AJ414" s="150"/>
      <c r="AK414" s="150"/>
      <c r="AL414" s="150"/>
    </row>
    <row r="415">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c r="AH415" s="150"/>
      <c r="AI415" s="150"/>
      <c r="AJ415" s="150"/>
      <c r="AK415" s="150"/>
      <c r="AL415" s="150"/>
    </row>
    <row r="416">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c r="AH416" s="150"/>
      <c r="AI416" s="150"/>
      <c r="AJ416" s="150"/>
      <c r="AK416" s="150"/>
      <c r="AL416" s="150"/>
    </row>
    <row r="417">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c r="AH417" s="150"/>
      <c r="AI417" s="150"/>
      <c r="AJ417" s="150"/>
      <c r="AK417" s="150"/>
      <c r="AL417" s="150"/>
    </row>
    <row r="418">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c r="AH418" s="150"/>
      <c r="AI418" s="150"/>
      <c r="AJ418" s="150"/>
      <c r="AK418" s="150"/>
      <c r="AL418" s="150"/>
    </row>
    <row r="419">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c r="AH419" s="150"/>
      <c r="AI419" s="150"/>
      <c r="AJ419" s="150"/>
      <c r="AK419" s="150"/>
      <c r="AL419" s="150"/>
    </row>
    <row r="420">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c r="AH420" s="150"/>
      <c r="AI420" s="150"/>
      <c r="AJ420" s="150"/>
      <c r="AK420" s="150"/>
      <c r="AL420" s="150"/>
    </row>
    <row r="42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c r="AH421" s="150"/>
      <c r="AI421" s="150"/>
      <c r="AJ421" s="150"/>
      <c r="AK421" s="150"/>
      <c r="AL421" s="150"/>
    </row>
    <row r="422">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c r="AH422" s="150"/>
      <c r="AI422" s="150"/>
      <c r="AJ422" s="150"/>
      <c r="AK422" s="150"/>
      <c r="AL422" s="150"/>
    </row>
    <row r="42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c r="AH423" s="150"/>
      <c r="AI423" s="150"/>
      <c r="AJ423" s="150"/>
      <c r="AK423" s="150"/>
      <c r="AL423" s="150"/>
    </row>
    <row r="424">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c r="AH424" s="150"/>
      <c r="AI424" s="150"/>
      <c r="AJ424" s="150"/>
      <c r="AK424" s="150"/>
      <c r="AL424" s="150"/>
    </row>
    <row r="425">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row>
    <row r="426">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c r="AH426" s="150"/>
      <c r="AI426" s="150"/>
      <c r="AJ426" s="150"/>
      <c r="AK426" s="150"/>
      <c r="AL426" s="150"/>
    </row>
    <row r="427">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c r="AH427" s="150"/>
      <c r="AI427" s="150"/>
      <c r="AJ427" s="150"/>
      <c r="AK427" s="150"/>
      <c r="AL427" s="150"/>
    </row>
    <row r="428">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c r="AH428" s="150"/>
      <c r="AI428" s="150"/>
      <c r="AJ428" s="150"/>
      <c r="AK428" s="150"/>
      <c r="AL428" s="150"/>
    </row>
    <row r="429">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c r="AH429" s="150"/>
      <c r="AI429" s="150"/>
      <c r="AJ429" s="150"/>
      <c r="AK429" s="150"/>
      <c r="AL429" s="150"/>
    </row>
    <row r="430">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c r="AH430" s="150"/>
      <c r="AI430" s="150"/>
      <c r="AJ430" s="150"/>
      <c r="AK430" s="150"/>
      <c r="AL430" s="150"/>
    </row>
    <row r="43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c r="AH431" s="150"/>
      <c r="AI431" s="150"/>
      <c r="AJ431" s="150"/>
      <c r="AK431" s="150"/>
      <c r="AL431" s="150"/>
    </row>
    <row r="43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c r="AH432" s="150"/>
      <c r="AI432" s="150"/>
      <c r="AJ432" s="150"/>
      <c r="AK432" s="150"/>
      <c r="AL432" s="150"/>
    </row>
    <row r="43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c r="AH433" s="150"/>
      <c r="AI433" s="150"/>
      <c r="AJ433" s="150"/>
      <c r="AK433" s="150"/>
      <c r="AL433" s="150"/>
    </row>
    <row r="434">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row>
    <row r="435">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c r="AH435" s="150"/>
      <c r="AI435" s="150"/>
      <c r="AJ435" s="150"/>
      <c r="AK435" s="150"/>
      <c r="AL435" s="150"/>
    </row>
    <row r="436">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c r="AH436" s="150"/>
      <c r="AI436" s="150"/>
      <c r="AJ436" s="150"/>
      <c r="AK436" s="150"/>
      <c r="AL436" s="150"/>
    </row>
    <row r="437">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c r="AH437" s="150"/>
      <c r="AI437" s="150"/>
      <c r="AJ437" s="150"/>
      <c r="AK437" s="150"/>
      <c r="AL437" s="150"/>
    </row>
    <row r="438">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c r="AH438" s="150"/>
      <c r="AI438" s="150"/>
      <c r="AJ438" s="150"/>
      <c r="AK438" s="150"/>
      <c r="AL438" s="150"/>
    </row>
    <row r="439">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c r="AH439" s="150"/>
      <c r="AI439" s="150"/>
      <c r="AJ439" s="150"/>
      <c r="AK439" s="150"/>
      <c r="AL439" s="150"/>
    </row>
    <row r="440">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c r="AH440" s="150"/>
      <c r="AI440" s="150"/>
      <c r="AJ440" s="150"/>
      <c r="AK440" s="150"/>
      <c r="AL440" s="150"/>
    </row>
    <row r="44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c r="AH441" s="150"/>
      <c r="AI441" s="150"/>
      <c r="AJ441" s="150"/>
      <c r="AK441" s="150"/>
      <c r="AL441" s="150"/>
    </row>
    <row r="44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c r="AH442" s="150"/>
      <c r="AI442" s="150"/>
      <c r="AJ442" s="150"/>
      <c r="AK442" s="150"/>
      <c r="AL442" s="150"/>
    </row>
    <row r="44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c r="AH443" s="150"/>
      <c r="AI443" s="150"/>
      <c r="AJ443" s="150"/>
      <c r="AK443" s="150"/>
      <c r="AL443" s="150"/>
    </row>
    <row r="444">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c r="AH444" s="150"/>
      <c r="AI444" s="150"/>
      <c r="AJ444" s="150"/>
      <c r="AK444" s="150"/>
      <c r="AL444" s="150"/>
    </row>
    <row r="445">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c r="AH445" s="150"/>
      <c r="AI445" s="150"/>
      <c r="AJ445" s="150"/>
      <c r="AK445" s="150"/>
      <c r="AL445" s="150"/>
    </row>
    <row r="446">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c r="AH446" s="150"/>
      <c r="AI446" s="150"/>
      <c r="AJ446" s="150"/>
      <c r="AK446" s="150"/>
      <c r="AL446" s="150"/>
    </row>
    <row r="447">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c r="AH447" s="150"/>
      <c r="AI447" s="150"/>
      <c r="AJ447" s="150"/>
      <c r="AK447" s="150"/>
      <c r="AL447" s="150"/>
    </row>
    <row r="448">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c r="AH448" s="150"/>
      <c r="AI448" s="150"/>
      <c r="AJ448" s="150"/>
      <c r="AK448" s="150"/>
      <c r="AL448" s="150"/>
    </row>
    <row r="449">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c r="AH449" s="150"/>
      <c r="AI449" s="150"/>
      <c r="AJ449" s="150"/>
      <c r="AK449" s="150"/>
      <c r="AL449" s="150"/>
    </row>
    <row r="450">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c r="AH450" s="150"/>
      <c r="AI450" s="150"/>
      <c r="AJ450" s="150"/>
      <c r="AK450" s="150"/>
      <c r="AL450" s="150"/>
    </row>
    <row r="45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c r="AH451" s="150"/>
      <c r="AI451" s="150"/>
      <c r="AJ451" s="150"/>
      <c r="AK451" s="150"/>
      <c r="AL451" s="150"/>
    </row>
    <row r="45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c r="AH452" s="150"/>
      <c r="AI452" s="150"/>
      <c r="AJ452" s="150"/>
      <c r="AK452" s="150"/>
      <c r="AL452" s="150"/>
    </row>
    <row r="45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c r="AH453" s="150"/>
      <c r="AI453" s="150"/>
      <c r="AJ453" s="150"/>
      <c r="AK453" s="150"/>
      <c r="AL453" s="150"/>
    </row>
    <row r="454">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c r="AH454" s="150"/>
      <c r="AI454" s="150"/>
      <c r="AJ454" s="150"/>
      <c r="AK454" s="150"/>
      <c r="AL454" s="150"/>
    </row>
    <row r="455">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c r="AH455" s="150"/>
      <c r="AI455" s="150"/>
      <c r="AJ455" s="150"/>
      <c r="AK455" s="150"/>
      <c r="AL455" s="150"/>
    </row>
    <row r="456">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c r="AH456" s="150"/>
      <c r="AI456" s="150"/>
      <c r="AJ456" s="150"/>
      <c r="AK456" s="150"/>
      <c r="AL456" s="150"/>
    </row>
    <row r="457">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c r="AH457" s="150"/>
      <c r="AI457" s="150"/>
      <c r="AJ457" s="150"/>
      <c r="AK457" s="150"/>
      <c r="AL457" s="150"/>
    </row>
    <row r="458">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c r="AH458" s="150"/>
      <c r="AI458" s="150"/>
      <c r="AJ458" s="150"/>
      <c r="AK458" s="150"/>
      <c r="AL458" s="150"/>
    </row>
    <row r="459">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c r="AH459" s="150"/>
      <c r="AI459" s="150"/>
      <c r="AJ459" s="150"/>
      <c r="AK459" s="150"/>
      <c r="AL459" s="150"/>
    </row>
    <row r="460">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c r="AH460" s="150"/>
      <c r="AI460" s="150"/>
      <c r="AJ460" s="150"/>
      <c r="AK460" s="150"/>
      <c r="AL460" s="150"/>
    </row>
    <row r="46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c r="AH461" s="150"/>
      <c r="AI461" s="150"/>
      <c r="AJ461" s="150"/>
      <c r="AK461" s="150"/>
      <c r="AL461" s="150"/>
    </row>
    <row r="46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c r="AH462" s="150"/>
      <c r="AI462" s="150"/>
      <c r="AJ462" s="150"/>
      <c r="AK462" s="150"/>
      <c r="AL462" s="150"/>
    </row>
    <row r="46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c r="AH463" s="150"/>
      <c r="AI463" s="150"/>
      <c r="AJ463" s="150"/>
      <c r="AK463" s="150"/>
      <c r="AL463" s="150"/>
    </row>
    <row r="464">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c r="AH464" s="150"/>
      <c r="AI464" s="150"/>
      <c r="AJ464" s="150"/>
      <c r="AK464" s="150"/>
      <c r="AL464" s="150"/>
    </row>
    <row r="465">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c r="AH465" s="150"/>
      <c r="AI465" s="150"/>
      <c r="AJ465" s="150"/>
      <c r="AK465" s="150"/>
      <c r="AL465" s="150"/>
    </row>
    <row r="466">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c r="AH466" s="150"/>
      <c r="AI466" s="150"/>
      <c r="AJ466" s="150"/>
      <c r="AK466" s="150"/>
      <c r="AL466" s="150"/>
    </row>
    <row r="467">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c r="AH467" s="150"/>
      <c r="AI467" s="150"/>
      <c r="AJ467" s="150"/>
      <c r="AK467" s="150"/>
      <c r="AL467" s="150"/>
    </row>
    <row r="468">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c r="AH468" s="150"/>
      <c r="AI468" s="150"/>
      <c r="AJ468" s="150"/>
      <c r="AK468" s="150"/>
      <c r="AL468" s="150"/>
    </row>
    <row r="469">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c r="AK469" s="150"/>
      <c r="AL469" s="150"/>
    </row>
    <row r="470">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row>
    <row r="47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c r="AH471" s="150"/>
      <c r="AI471" s="150"/>
      <c r="AJ471" s="150"/>
      <c r="AK471" s="150"/>
      <c r="AL471" s="150"/>
    </row>
    <row r="47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c r="AH472" s="150"/>
      <c r="AI472" s="150"/>
      <c r="AJ472" s="150"/>
      <c r="AK472" s="150"/>
      <c r="AL472" s="150"/>
    </row>
    <row r="47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c r="AH473" s="150"/>
      <c r="AI473" s="150"/>
      <c r="AJ473" s="150"/>
      <c r="AK473" s="150"/>
      <c r="AL473" s="150"/>
    </row>
    <row r="474">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c r="AH474" s="150"/>
      <c r="AI474" s="150"/>
      <c r="AJ474" s="150"/>
      <c r="AK474" s="150"/>
      <c r="AL474" s="150"/>
    </row>
    <row r="475">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c r="AH475" s="150"/>
      <c r="AI475" s="150"/>
      <c r="AJ475" s="150"/>
      <c r="AK475" s="150"/>
      <c r="AL475" s="150"/>
    </row>
    <row r="476">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c r="AH476" s="150"/>
      <c r="AI476" s="150"/>
      <c r="AJ476" s="150"/>
      <c r="AK476" s="150"/>
      <c r="AL476" s="150"/>
    </row>
    <row r="477">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c r="AH477" s="150"/>
      <c r="AI477" s="150"/>
      <c r="AJ477" s="150"/>
      <c r="AK477" s="150"/>
      <c r="AL477" s="150"/>
    </row>
    <row r="478">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c r="AH478" s="150"/>
      <c r="AI478" s="150"/>
      <c r="AJ478" s="150"/>
      <c r="AK478" s="150"/>
      <c r="AL478" s="150"/>
    </row>
    <row r="479">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c r="AH479" s="150"/>
      <c r="AI479" s="150"/>
      <c r="AJ479" s="150"/>
      <c r="AK479" s="150"/>
      <c r="AL479" s="150"/>
    </row>
    <row r="480">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c r="AH480" s="150"/>
      <c r="AI480" s="150"/>
      <c r="AJ480" s="150"/>
      <c r="AK480" s="150"/>
      <c r="AL480" s="150"/>
    </row>
    <row r="48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c r="AH481" s="150"/>
      <c r="AI481" s="150"/>
      <c r="AJ481" s="150"/>
      <c r="AK481" s="150"/>
      <c r="AL481" s="150"/>
    </row>
    <row r="48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c r="AH482" s="150"/>
      <c r="AI482" s="150"/>
      <c r="AJ482" s="150"/>
      <c r="AK482" s="150"/>
      <c r="AL482" s="150"/>
    </row>
    <row r="48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c r="AH483" s="150"/>
      <c r="AI483" s="150"/>
      <c r="AJ483" s="150"/>
      <c r="AK483" s="150"/>
      <c r="AL483" s="150"/>
    </row>
    <row r="484">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c r="AH484" s="150"/>
      <c r="AI484" s="150"/>
      <c r="AJ484" s="150"/>
      <c r="AK484" s="150"/>
      <c r="AL484" s="150"/>
    </row>
    <row r="485">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c r="AH485" s="150"/>
      <c r="AI485" s="150"/>
      <c r="AJ485" s="150"/>
      <c r="AK485" s="150"/>
      <c r="AL485" s="150"/>
    </row>
    <row r="486">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c r="AH486" s="150"/>
      <c r="AI486" s="150"/>
      <c r="AJ486" s="150"/>
      <c r="AK486" s="150"/>
      <c r="AL486" s="150"/>
    </row>
    <row r="487">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c r="AH487" s="150"/>
      <c r="AI487" s="150"/>
      <c r="AJ487" s="150"/>
      <c r="AK487" s="150"/>
      <c r="AL487" s="150"/>
    </row>
    <row r="488">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c r="AH488" s="150"/>
      <c r="AI488" s="150"/>
      <c r="AJ488" s="150"/>
      <c r="AK488" s="150"/>
      <c r="AL488" s="150"/>
    </row>
    <row r="489">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c r="AH489" s="150"/>
      <c r="AI489" s="150"/>
      <c r="AJ489" s="150"/>
      <c r="AK489" s="150"/>
      <c r="AL489" s="150"/>
    </row>
    <row r="490">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c r="AH490" s="150"/>
      <c r="AI490" s="150"/>
      <c r="AJ490" s="150"/>
      <c r="AK490" s="150"/>
      <c r="AL490" s="150"/>
    </row>
    <row r="49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c r="AH491" s="150"/>
      <c r="AI491" s="150"/>
      <c r="AJ491" s="150"/>
      <c r="AK491" s="150"/>
      <c r="AL491" s="150"/>
    </row>
    <row r="492">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c r="AH492" s="150"/>
      <c r="AI492" s="150"/>
      <c r="AJ492" s="150"/>
      <c r="AK492" s="150"/>
      <c r="AL492" s="150"/>
    </row>
    <row r="49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c r="AH493" s="150"/>
      <c r="AI493" s="150"/>
      <c r="AJ493" s="150"/>
      <c r="AK493" s="150"/>
      <c r="AL493" s="150"/>
    </row>
    <row r="494">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c r="AH494" s="150"/>
      <c r="AI494" s="150"/>
      <c r="AJ494" s="150"/>
      <c r="AK494" s="150"/>
      <c r="AL494" s="150"/>
    </row>
    <row r="495">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c r="AH495" s="150"/>
      <c r="AI495" s="150"/>
      <c r="AJ495" s="150"/>
      <c r="AK495" s="150"/>
      <c r="AL495" s="150"/>
    </row>
    <row r="496">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c r="AH496" s="150"/>
      <c r="AI496" s="150"/>
      <c r="AJ496" s="150"/>
      <c r="AK496" s="150"/>
      <c r="AL496" s="150"/>
    </row>
    <row r="497">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c r="AH497" s="150"/>
      <c r="AI497" s="150"/>
      <c r="AJ497" s="150"/>
      <c r="AK497" s="150"/>
      <c r="AL497" s="150"/>
    </row>
    <row r="498">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c r="AH498" s="150"/>
      <c r="AI498" s="150"/>
      <c r="AJ498" s="150"/>
      <c r="AK498" s="150"/>
      <c r="AL498" s="150"/>
    </row>
    <row r="499">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c r="AH499" s="150"/>
      <c r="AI499" s="150"/>
      <c r="AJ499" s="150"/>
      <c r="AK499" s="150"/>
      <c r="AL499" s="150"/>
    </row>
    <row r="500">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c r="AH500" s="150"/>
      <c r="AI500" s="150"/>
      <c r="AJ500" s="150"/>
      <c r="AK500" s="150"/>
      <c r="AL500" s="150"/>
    </row>
    <row r="50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c r="AH501" s="150"/>
      <c r="AI501" s="150"/>
      <c r="AJ501" s="150"/>
      <c r="AK501" s="150"/>
      <c r="AL501" s="150"/>
    </row>
    <row r="502">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c r="AH502" s="150"/>
      <c r="AI502" s="150"/>
      <c r="AJ502" s="150"/>
      <c r="AK502" s="150"/>
      <c r="AL502" s="150"/>
    </row>
    <row r="5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c r="AH503" s="150"/>
      <c r="AI503" s="150"/>
      <c r="AJ503" s="150"/>
      <c r="AK503" s="150"/>
      <c r="AL503" s="150"/>
    </row>
    <row r="504">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c r="AH504" s="150"/>
      <c r="AI504" s="150"/>
      <c r="AJ504" s="150"/>
      <c r="AK504" s="150"/>
      <c r="AL504" s="150"/>
    </row>
    <row r="505">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c r="AH505" s="150"/>
      <c r="AI505" s="150"/>
      <c r="AJ505" s="150"/>
      <c r="AK505" s="150"/>
      <c r="AL505" s="150"/>
    </row>
    <row r="506">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c r="AH506" s="150"/>
      <c r="AI506" s="150"/>
      <c r="AJ506" s="150"/>
      <c r="AK506" s="150"/>
      <c r="AL506" s="150"/>
    </row>
    <row r="507">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c r="AH507" s="150"/>
      <c r="AI507" s="150"/>
      <c r="AJ507" s="150"/>
      <c r="AK507" s="150"/>
      <c r="AL507" s="150"/>
    </row>
    <row r="508">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c r="AH508" s="150"/>
      <c r="AI508" s="150"/>
      <c r="AJ508" s="150"/>
      <c r="AK508" s="150"/>
      <c r="AL508" s="150"/>
    </row>
    <row r="509">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c r="AH509" s="150"/>
      <c r="AI509" s="150"/>
      <c r="AJ509" s="150"/>
      <c r="AK509" s="150"/>
      <c r="AL509" s="150"/>
    </row>
    <row r="510">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c r="AH510" s="150"/>
      <c r="AI510" s="150"/>
      <c r="AJ510" s="150"/>
      <c r="AK510" s="150"/>
      <c r="AL510" s="150"/>
    </row>
    <row r="51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c r="AH511" s="150"/>
      <c r="AI511" s="150"/>
      <c r="AJ511" s="150"/>
      <c r="AK511" s="150"/>
      <c r="AL511" s="150"/>
    </row>
    <row r="51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c r="AH512" s="150"/>
      <c r="AI512" s="150"/>
      <c r="AJ512" s="150"/>
      <c r="AK512" s="150"/>
      <c r="AL512" s="150"/>
    </row>
    <row r="51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c r="AH513" s="150"/>
      <c r="AI513" s="150"/>
      <c r="AJ513" s="150"/>
      <c r="AK513" s="150"/>
      <c r="AL513" s="150"/>
    </row>
    <row r="514">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c r="AH514" s="150"/>
      <c r="AI514" s="150"/>
      <c r="AJ514" s="150"/>
      <c r="AK514" s="150"/>
      <c r="AL514" s="150"/>
    </row>
    <row r="515">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c r="AH515" s="150"/>
      <c r="AI515" s="150"/>
      <c r="AJ515" s="150"/>
      <c r="AK515" s="150"/>
      <c r="AL515" s="150"/>
    </row>
    <row r="516">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c r="AH516" s="150"/>
      <c r="AI516" s="150"/>
      <c r="AJ516" s="150"/>
      <c r="AK516" s="150"/>
      <c r="AL516" s="150"/>
    </row>
    <row r="517">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c r="AH517" s="150"/>
      <c r="AI517" s="150"/>
      <c r="AJ517" s="150"/>
      <c r="AK517" s="150"/>
      <c r="AL517" s="150"/>
    </row>
    <row r="518">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c r="AH518" s="150"/>
      <c r="AI518" s="150"/>
      <c r="AJ518" s="150"/>
      <c r="AK518" s="150"/>
      <c r="AL518" s="150"/>
    </row>
    <row r="519">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c r="AH519" s="150"/>
      <c r="AI519" s="150"/>
      <c r="AJ519" s="150"/>
      <c r="AK519" s="150"/>
      <c r="AL519" s="150"/>
    </row>
    <row r="520">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c r="AH520" s="150"/>
      <c r="AI520" s="150"/>
      <c r="AJ520" s="150"/>
      <c r="AK520" s="150"/>
      <c r="AL520" s="150"/>
    </row>
    <row r="52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c r="AH521" s="150"/>
      <c r="AI521" s="150"/>
      <c r="AJ521" s="150"/>
      <c r="AK521" s="150"/>
      <c r="AL521" s="150"/>
    </row>
    <row r="52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c r="AH522" s="150"/>
      <c r="AI522" s="150"/>
      <c r="AJ522" s="150"/>
      <c r="AK522" s="150"/>
      <c r="AL522" s="150"/>
    </row>
    <row r="52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c r="AH523" s="150"/>
      <c r="AI523" s="150"/>
      <c r="AJ523" s="150"/>
      <c r="AK523" s="150"/>
      <c r="AL523" s="150"/>
    </row>
    <row r="524">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c r="AH524" s="150"/>
      <c r="AI524" s="150"/>
      <c r="AJ524" s="150"/>
      <c r="AK524" s="150"/>
      <c r="AL524" s="150"/>
    </row>
    <row r="525">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c r="AH525" s="150"/>
      <c r="AI525" s="150"/>
      <c r="AJ525" s="150"/>
      <c r="AK525" s="150"/>
      <c r="AL525" s="150"/>
    </row>
    <row r="526">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c r="AH526" s="150"/>
      <c r="AI526" s="150"/>
      <c r="AJ526" s="150"/>
      <c r="AK526" s="150"/>
      <c r="AL526" s="150"/>
    </row>
    <row r="527">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c r="AH527" s="150"/>
      <c r="AI527" s="150"/>
      <c r="AJ527" s="150"/>
      <c r="AK527" s="150"/>
      <c r="AL527" s="150"/>
    </row>
    <row r="528">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c r="AH528" s="150"/>
      <c r="AI528" s="150"/>
      <c r="AJ528" s="150"/>
      <c r="AK528" s="150"/>
      <c r="AL528" s="150"/>
    </row>
    <row r="529">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c r="AH529" s="150"/>
      <c r="AI529" s="150"/>
      <c r="AJ529" s="150"/>
      <c r="AK529" s="150"/>
      <c r="AL529" s="150"/>
    </row>
    <row r="530">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c r="AH530" s="150"/>
      <c r="AI530" s="150"/>
      <c r="AJ530" s="150"/>
      <c r="AK530" s="150"/>
      <c r="AL530" s="150"/>
    </row>
    <row r="53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c r="AH531" s="150"/>
      <c r="AI531" s="150"/>
      <c r="AJ531" s="150"/>
      <c r="AK531" s="150"/>
      <c r="AL531" s="150"/>
    </row>
    <row r="53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c r="AH532" s="150"/>
      <c r="AI532" s="150"/>
      <c r="AJ532" s="150"/>
      <c r="AK532" s="150"/>
      <c r="AL532" s="150"/>
    </row>
    <row r="53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c r="AH533" s="150"/>
      <c r="AI533" s="150"/>
      <c r="AJ533" s="150"/>
      <c r="AK533" s="150"/>
      <c r="AL533" s="150"/>
    </row>
    <row r="534">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c r="AH534" s="150"/>
      <c r="AI534" s="150"/>
      <c r="AJ534" s="150"/>
      <c r="AK534" s="150"/>
      <c r="AL534" s="150"/>
    </row>
    <row r="535">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c r="AH535" s="150"/>
      <c r="AI535" s="150"/>
      <c r="AJ535" s="150"/>
      <c r="AK535" s="150"/>
      <c r="AL535" s="150"/>
    </row>
    <row r="536">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c r="AH536" s="150"/>
      <c r="AI536" s="150"/>
      <c r="AJ536" s="150"/>
      <c r="AK536" s="150"/>
      <c r="AL536" s="150"/>
    </row>
    <row r="537">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c r="AH537" s="150"/>
      <c r="AI537" s="150"/>
      <c r="AJ537" s="150"/>
      <c r="AK537" s="150"/>
      <c r="AL537" s="150"/>
    </row>
    <row r="538">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c r="AH538" s="150"/>
      <c r="AI538" s="150"/>
      <c r="AJ538" s="150"/>
      <c r="AK538" s="150"/>
      <c r="AL538" s="150"/>
    </row>
    <row r="539">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c r="AH539" s="150"/>
      <c r="AI539" s="150"/>
      <c r="AJ539" s="150"/>
      <c r="AK539" s="150"/>
      <c r="AL539" s="150"/>
    </row>
    <row r="540">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c r="AH540" s="150"/>
      <c r="AI540" s="150"/>
      <c r="AJ540" s="150"/>
      <c r="AK540" s="150"/>
      <c r="AL540" s="150"/>
    </row>
    <row r="54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c r="AH541" s="150"/>
      <c r="AI541" s="150"/>
      <c r="AJ541" s="150"/>
      <c r="AK541" s="150"/>
      <c r="AL541" s="150"/>
    </row>
    <row r="54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c r="AH542" s="150"/>
      <c r="AI542" s="150"/>
      <c r="AJ542" s="150"/>
      <c r="AK542" s="150"/>
      <c r="AL542" s="150"/>
    </row>
    <row r="54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c r="AH543" s="150"/>
      <c r="AI543" s="150"/>
      <c r="AJ543" s="150"/>
      <c r="AK543" s="150"/>
      <c r="AL543" s="150"/>
    </row>
    <row r="544">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c r="AH544" s="150"/>
      <c r="AI544" s="150"/>
      <c r="AJ544" s="150"/>
      <c r="AK544" s="150"/>
      <c r="AL544" s="150"/>
    </row>
    <row r="545">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c r="AH545" s="150"/>
      <c r="AI545" s="150"/>
      <c r="AJ545" s="150"/>
      <c r="AK545" s="150"/>
      <c r="AL545" s="150"/>
    </row>
    <row r="546">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c r="AH546" s="150"/>
      <c r="AI546" s="150"/>
      <c r="AJ546" s="150"/>
      <c r="AK546" s="150"/>
      <c r="AL546" s="150"/>
    </row>
    <row r="547">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c r="AH547" s="150"/>
      <c r="AI547" s="150"/>
      <c r="AJ547" s="150"/>
      <c r="AK547" s="150"/>
      <c r="AL547" s="150"/>
    </row>
    <row r="548">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c r="AH548" s="150"/>
      <c r="AI548" s="150"/>
      <c r="AJ548" s="150"/>
      <c r="AK548" s="150"/>
      <c r="AL548" s="150"/>
    </row>
    <row r="549">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c r="AH549" s="150"/>
      <c r="AI549" s="150"/>
      <c r="AJ549" s="150"/>
      <c r="AK549" s="150"/>
      <c r="AL549" s="150"/>
    </row>
    <row r="550">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c r="AH550" s="150"/>
      <c r="AI550" s="150"/>
      <c r="AJ550" s="150"/>
      <c r="AK550" s="150"/>
      <c r="AL550" s="150"/>
    </row>
    <row r="55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c r="AH551" s="150"/>
      <c r="AI551" s="150"/>
      <c r="AJ551" s="150"/>
      <c r="AK551" s="150"/>
      <c r="AL551" s="150"/>
    </row>
    <row r="55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c r="AH552" s="150"/>
      <c r="AI552" s="150"/>
      <c r="AJ552" s="150"/>
      <c r="AK552" s="150"/>
      <c r="AL552" s="150"/>
    </row>
    <row r="55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c r="AH553" s="150"/>
      <c r="AI553" s="150"/>
      <c r="AJ553" s="150"/>
      <c r="AK553" s="150"/>
      <c r="AL553" s="150"/>
    </row>
    <row r="554">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c r="AH554" s="150"/>
      <c r="AI554" s="150"/>
      <c r="AJ554" s="150"/>
      <c r="AK554" s="150"/>
      <c r="AL554" s="150"/>
    </row>
    <row r="555">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c r="AH555" s="150"/>
      <c r="AI555" s="150"/>
      <c r="AJ555" s="150"/>
      <c r="AK555" s="150"/>
      <c r="AL555" s="150"/>
    </row>
    <row r="556">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c r="AH556" s="150"/>
      <c r="AI556" s="150"/>
      <c r="AJ556" s="150"/>
      <c r="AK556" s="150"/>
      <c r="AL556" s="150"/>
    </row>
    <row r="557">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c r="AH557" s="150"/>
      <c r="AI557" s="150"/>
      <c r="AJ557" s="150"/>
      <c r="AK557" s="150"/>
      <c r="AL557" s="150"/>
    </row>
    <row r="558">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c r="AH558" s="150"/>
      <c r="AI558" s="150"/>
      <c r="AJ558" s="150"/>
      <c r="AK558" s="150"/>
      <c r="AL558" s="150"/>
    </row>
    <row r="559">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c r="AH559" s="150"/>
      <c r="AI559" s="150"/>
      <c r="AJ559" s="150"/>
      <c r="AK559" s="150"/>
      <c r="AL559" s="150"/>
    </row>
    <row r="560">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c r="AH560" s="150"/>
      <c r="AI560" s="150"/>
      <c r="AJ560" s="150"/>
      <c r="AK560" s="150"/>
      <c r="AL560" s="150"/>
    </row>
    <row r="56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c r="AH561" s="150"/>
      <c r="AI561" s="150"/>
      <c r="AJ561" s="150"/>
      <c r="AK561" s="150"/>
      <c r="AL561" s="150"/>
    </row>
    <row r="56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c r="AH562" s="150"/>
      <c r="AI562" s="150"/>
      <c r="AJ562" s="150"/>
      <c r="AK562" s="150"/>
      <c r="AL562" s="150"/>
    </row>
    <row r="56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c r="AH563" s="150"/>
      <c r="AI563" s="150"/>
      <c r="AJ563" s="150"/>
      <c r="AK563" s="150"/>
      <c r="AL563" s="150"/>
    </row>
    <row r="564">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c r="AH564" s="150"/>
      <c r="AI564" s="150"/>
      <c r="AJ564" s="150"/>
      <c r="AK564" s="150"/>
      <c r="AL564" s="150"/>
    </row>
    <row r="565">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c r="AH565" s="150"/>
      <c r="AI565" s="150"/>
      <c r="AJ565" s="150"/>
      <c r="AK565" s="150"/>
      <c r="AL565" s="150"/>
    </row>
    <row r="566">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c r="AH566" s="150"/>
      <c r="AI566" s="150"/>
      <c r="AJ566" s="150"/>
      <c r="AK566" s="150"/>
      <c r="AL566" s="150"/>
    </row>
    <row r="567">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c r="AH567" s="150"/>
      <c r="AI567" s="150"/>
      <c r="AJ567" s="150"/>
      <c r="AK567" s="150"/>
      <c r="AL567" s="150"/>
    </row>
    <row r="568">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c r="AH568" s="150"/>
      <c r="AI568" s="150"/>
      <c r="AJ568" s="150"/>
      <c r="AK568" s="150"/>
      <c r="AL568" s="150"/>
    </row>
    <row r="569">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c r="AH569" s="150"/>
      <c r="AI569" s="150"/>
      <c r="AJ569" s="150"/>
      <c r="AK569" s="150"/>
      <c r="AL569" s="150"/>
    </row>
    <row r="570">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c r="AH570" s="150"/>
      <c r="AI570" s="150"/>
      <c r="AJ570" s="150"/>
      <c r="AK570" s="150"/>
      <c r="AL570" s="150"/>
    </row>
    <row r="57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c r="AH571" s="150"/>
      <c r="AI571" s="150"/>
      <c r="AJ571" s="150"/>
      <c r="AK571" s="150"/>
      <c r="AL571" s="150"/>
    </row>
    <row r="57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c r="AH572" s="150"/>
      <c r="AI572" s="150"/>
      <c r="AJ572" s="150"/>
      <c r="AK572" s="150"/>
      <c r="AL572" s="150"/>
    </row>
    <row r="57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c r="AH573" s="150"/>
      <c r="AI573" s="150"/>
      <c r="AJ573" s="150"/>
      <c r="AK573" s="150"/>
      <c r="AL573" s="150"/>
    </row>
    <row r="574">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c r="AH574" s="150"/>
      <c r="AI574" s="150"/>
      <c r="AJ574" s="150"/>
      <c r="AK574" s="150"/>
      <c r="AL574" s="150"/>
    </row>
    <row r="575">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c r="AH575" s="150"/>
      <c r="AI575" s="150"/>
      <c r="AJ575" s="150"/>
      <c r="AK575" s="150"/>
      <c r="AL575" s="150"/>
    </row>
    <row r="576">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c r="AH576" s="150"/>
      <c r="AI576" s="150"/>
      <c r="AJ576" s="150"/>
      <c r="AK576" s="150"/>
      <c r="AL576" s="150"/>
    </row>
    <row r="577">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c r="AH577" s="150"/>
      <c r="AI577" s="150"/>
      <c r="AJ577" s="150"/>
      <c r="AK577" s="150"/>
      <c r="AL577" s="150"/>
    </row>
    <row r="578">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c r="AH578" s="150"/>
      <c r="AI578" s="150"/>
      <c r="AJ578" s="150"/>
      <c r="AK578" s="150"/>
      <c r="AL578" s="150"/>
    </row>
    <row r="579">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c r="AH579" s="150"/>
      <c r="AI579" s="150"/>
      <c r="AJ579" s="150"/>
      <c r="AK579" s="150"/>
      <c r="AL579" s="150"/>
    </row>
    <row r="580">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c r="AH580" s="150"/>
      <c r="AI580" s="150"/>
      <c r="AJ580" s="150"/>
      <c r="AK580" s="150"/>
      <c r="AL580" s="150"/>
    </row>
    <row r="58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c r="AH581" s="150"/>
      <c r="AI581" s="150"/>
      <c r="AJ581" s="150"/>
      <c r="AK581" s="150"/>
      <c r="AL581" s="150"/>
    </row>
    <row r="58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c r="AH582" s="150"/>
      <c r="AI582" s="150"/>
      <c r="AJ582" s="150"/>
      <c r="AK582" s="150"/>
      <c r="AL582" s="150"/>
    </row>
    <row r="58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c r="AH583" s="150"/>
      <c r="AI583" s="150"/>
      <c r="AJ583" s="150"/>
      <c r="AK583" s="150"/>
      <c r="AL583" s="150"/>
    </row>
    <row r="584">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c r="AH584" s="150"/>
      <c r="AI584" s="150"/>
      <c r="AJ584" s="150"/>
      <c r="AK584" s="150"/>
      <c r="AL584" s="150"/>
    </row>
    <row r="585">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c r="AH585" s="150"/>
      <c r="AI585" s="150"/>
      <c r="AJ585" s="150"/>
      <c r="AK585" s="150"/>
      <c r="AL585" s="150"/>
    </row>
    <row r="586">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c r="AH586" s="150"/>
      <c r="AI586" s="150"/>
      <c r="AJ586" s="150"/>
      <c r="AK586" s="150"/>
      <c r="AL586" s="150"/>
    </row>
    <row r="587">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c r="AH587" s="150"/>
      <c r="AI587" s="150"/>
      <c r="AJ587" s="150"/>
      <c r="AK587" s="150"/>
      <c r="AL587" s="150"/>
    </row>
    <row r="588">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c r="AH588" s="150"/>
      <c r="AI588" s="150"/>
      <c r="AJ588" s="150"/>
      <c r="AK588" s="150"/>
      <c r="AL588" s="150"/>
    </row>
    <row r="589">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c r="AH589" s="150"/>
      <c r="AI589" s="150"/>
      <c r="AJ589" s="150"/>
      <c r="AK589" s="150"/>
      <c r="AL589" s="150"/>
    </row>
    <row r="590">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c r="AH590" s="150"/>
      <c r="AI590" s="150"/>
      <c r="AJ590" s="150"/>
      <c r="AK590" s="150"/>
      <c r="AL590" s="150"/>
    </row>
    <row r="59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c r="AH591" s="150"/>
      <c r="AI591" s="150"/>
      <c r="AJ591" s="150"/>
      <c r="AK591" s="150"/>
      <c r="AL591" s="150"/>
    </row>
    <row r="59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c r="AH592" s="150"/>
      <c r="AI592" s="150"/>
      <c r="AJ592" s="150"/>
      <c r="AK592" s="150"/>
      <c r="AL592" s="150"/>
    </row>
    <row r="59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c r="AH593" s="150"/>
      <c r="AI593" s="150"/>
      <c r="AJ593" s="150"/>
      <c r="AK593" s="150"/>
      <c r="AL593" s="150"/>
    </row>
    <row r="594">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c r="AH594" s="150"/>
      <c r="AI594" s="150"/>
      <c r="AJ594" s="150"/>
      <c r="AK594" s="150"/>
      <c r="AL594" s="150"/>
    </row>
    <row r="595">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c r="AH595" s="150"/>
      <c r="AI595" s="150"/>
      <c r="AJ595" s="150"/>
      <c r="AK595" s="150"/>
      <c r="AL595" s="150"/>
    </row>
    <row r="596">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c r="AH596" s="150"/>
      <c r="AI596" s="150"/>
      <c r="AJ596" s="150"/>
      <c r="AK596" s="150"/>
      <c r="AL596" s="150"/>
    </row>
    <row r="597">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c r="AH597" s="150"/>
      <c r="AI597" s="150"/>
      <c r="AJ597" s="150"/>
      <c r="AK597" s="150"/>
      <c r="AL597" s="150"/>
    </row>
    <row r="598">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c r="AH598" s="150"/>
      <c r="AI598" s="150"/>
      <c r="AJ598" s="150"/>
      <c r="AK598" s="150"/>
      <c r="AL598" s="150"/>
    </row>
    <row r="599">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c r="AH599" s="150"/>
      <c r="AI599" s="150"/>
      <c r="AJ599" s="150"/>
      <c r="AK599" s="150"/>
      <c r="AL599" s="150"/>
    </row>
    <row r="600">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c r="AH600" s="150"/>
      <c r="AI600" s="150"/>
      <c r="AJ600" s="150"/>
      <c r="AK600" s="150"/>
      <c r="AL600" s="150"/>
    </row>
    <row r="60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c r="AH601" s="150"/>
      <c r="AI601" s="150"/>
      <c r="AJ601" s="150"/>
      <c r="AK601" s="150"/>
      <c r="AL601" s="150"/>
    </row>
    <row r="6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c r="AH602" s="150"/>
      <c r="AI602" s="150"/>
      <c r="AJ602" s="150"/>
      <c r="AK602" s="150"/>
      <c r="AL602" s="150"/>
    </row>
    <row r="6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c r="AH603" s="150"/>
      <c r="AI603" s="150"/>
      <c r="AJ603" s="150"/>
      <c r="AK603" s="150"/>
      <c r="AL603" s="150"/>
    </row>
    <row r="604">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c r="AH604" s="150"/>
      <c r="AI604" s="150"/>
      <c r="AJ604" s="150"/>
      <c r="AK604" s="150"/>
      <c r="AL604" s="150"/>
    </row>
    <row r="605">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c r="AH605" s="150"/>
      <c r="AI605" s="150"/>
      <c r="AJ605" s="150"/>
      <c r="AK605" s="150"/>
      <c r="AL605" s="150"/>
    </row>
    <row r="606">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c r="AH606" s="150"/>
      <c r="AI606" s="150"/>
      <c r="AJ606" s="150"/>
      <c r="AK606" s="150"/>
      <c r="AL606" s="150"/>
    </row>
    <row r="607">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c r="AH607" s="150"/>
      <c r="AI607" s="150"/>
      <c r="AJ607" s="150"/>
      <c r="AK607" s="150"/>
      <c r="AL607" s="150"/>
    </row>
    <row r="608">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c r="AH608" s="150"/>
      <c r="AI608" s="150"/>
      <c r="AJ608" s="150"/>
      <c r="AK608" s="150"/>
      <c r="AL608" s="150"/>
    </row>
    <row r="609">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c r="AH609" s="150"/>
      <c r="AI609" s="150"/>
      <c r="AJ609" s="150"/>
      <c r="AK609" s="150"/>
      <c r="AL609" s="150"/>
    </row>
    <row r="610">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c r="AH610" s="150"/>
      <c r="AI610" s="150"/>
      <c r="AJ610" s="150"/>
      <c r="AK610" s="150"/>
      <c r="AL610" s="150"/>
    </row>
    <row r="61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c r="AH611" s="150"/>
      <c r="AI611" s="150"/>
      <c r="AJ611" s="150"/>
      <c r="AK611" s="150"/>
      <c r="AL611" s="150"/>
    </row>
    <row r="61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c r="AH612" s="150"/>
      <c r="AI612" s="150"/>
      <c r="AJ612" s="150"/>
      <c r="AK612" s="150"/>
      <c r="AL612" s="150"/>
    </row>
    <row r="61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c r="AH613" s="150"/>
      <c r="AI613" s="150"/>
      <c r="AJ613" s="150"/>
      <c r="AK613" s="150"/>
      <c r="AL613" s="150"/>
    </row>
    <row r="614">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c r="AH614" s="150"/>
      <c r="AI614" s="150"/>
      <c r="AJ614" s="150"/>
      <c r="AK614" s="150"/>
      <c r="AL614" s="150"/>
    </row>
    <row r="615">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c r="AH615" s="150"/>
      <c r="AI615" s="150"/>
      <c r="AJ615" s="150"/>
      <c r="AK615" s="150"/>
      <c r="AL615" s="150"/>
    </row>
    <row r="616">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c r="AH616" s="150"/>
      <c r="AI616" s="150"/>
      <c r="AJ616" s="150"/>
      <c r="AK616" s="150"/>
      <c r="AL616" s="150"/>
    </row>
    <row r="617">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c r="AH617" s="150"/>
      <c r="AI617" s="150"/>
      <c r="AJ617" s="150"/>
      <c r="AK617" s="150"/>
      <c r="AL617" s="150"/>
    </row>
    <row r="618">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c r="AH618" s="150"/>
      <c r="AI618" s="150"/>
      <c r="AJ618" s="150"/>
      <c r="AK618" s="150"/>
      <c r="AL618" s="150"/>
    </row>
    <row r="619">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c r="AH619" s="150"/>
      <c r="AI619" s="150"/>
      <c r="AJ619" s="150"/>
      <c r="AK619" s="150"/>
      <c r="AL619" s="150"/>
    </row>
    <row r="620">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c r="AH620" s="150"/>
      <c r="AI620" s="150"/>
      <c r="AJ620" s="150"/>
      <c r="AK620" s="150"/>
      <c r="AL620" s="150"/>
    </row>
    <row r="62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c r="AH621" s="150"/>
      <c r="AI621" s="150"/>
      <c r="AJ621" s="150"/>
      <c r="AK621" s="150"/>
      <c r="AL621" s="150"/>
    </row>
    <row r="62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c r="AH622" s="150"/>
      <c r="AI622" s="150"/>
      <c r="AJ622" s="150"/>
      <c r="AK622" s="150"/>
      <c r="AL622" s="150"/>
    </row>
    <row r="62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c r="AH623" s="150"/>
      <c r="AI623" s="150"/>
      <c r="AJ623" s="150"/>
      <c r="AK623" s="150"/>
      <c r="AL623" s="150"/>
    </row>
    <row r="624">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c r="AH624" s="150"/>
      <c r="AI624" s="150"/>
      <c r="AJ624" s="150"/>
      <c r="AK624" s="150"/>
      <c r="AL624" s="150"/>
    </row>
    <row r="625">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c r="AH625" s="150"/>
      <c r="AI625" s="150"/>
      <c r="AJ625" s="150"/>
      <c r="AK625" s="150"/>
      <c r="AL625" s="150"/>
    </row>
    <row r="626">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c r="AH626" s="150"/>
      <c r="AI626" s="150"/>
      <c r="AJ626" s="150"/>
      <c r="AK626" s="150"/>
      <c r="AL626" s="150"/>
    </row>
    <row r="627">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c r="AH627" s="150"/>
      <c r="AI627" s="150"/>
      <c r="AJ627" s="150"/>
      <c r="AK627" s="150"/>
      <c r="AL627" s="150"/>
    </row>
    <row r="628">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c r="AH628" s="150"/>
      <c r="AI628" s="150"/>
      <c r="AJ628" s="150"/>
      <c r="AK628" s="150"/>
      <c r="AL628" s="150"/>
    </row>
    <row r="629">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c r="AH629" s="150"/>
      <c r="AI629" s="150"/>
      <c r="AJ629" s="150"/>
      <c r="AK629" s="150"/>
      <c r="AL629" s="150"/>
    </row>
    <row r="630">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c r="AH630" s="150"/>
      <c r="AI630" s="150"/>
      <c r="AJ630" s="150"/>
      <c r="AK630" s="150"/>
      <c r="AL630" s="150"/>
    </row>
    <row r="63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c r="AH631" s="150"/>
      <c r="AI631" s="150"/>
      <c r="AJ631" s="150"/>
      <c r="AK631" s="150"/>
      <c r="AL631" s="150"/>
    </row>
    <row r="63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c r="AH632" s="150"/>
      <c r="AI632" s="150"/>
      <c r="AJ632" s="150"/>
      <c r="AK632" s="150"/>
      <c r="AL632" s="150"/>
    </row>
    <row r="63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c r="AH633" s="150"/>
      <c r="AI633" s="150"/>
      <c r="AJ633" s="150"/>
      <c r="AK633" s="150"/>
      <c r="AL633" s="150"/>
    </row>
    <row r="634">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c r="AH634" s="150"/>
      <c r="AI634" s="150"/>
      <c r="AJ634" s="150"/>
      <c r="AK634" s="150"/>
      <c r="AL634" s="150"/>
    </row>
    <row r="635">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c r="AH635" s="150"/>
      <c r="AI635" s="150"/>
      <c r="AJ635" s="150"/>
      <c r="AK635" s="150"/>
      <c r="AL635" s="150"/>
    </row>
    <row r="636">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c r="AH636" s="150"/>
      <c r="AI636" s="150"/>
      <c r="AJ636" s="150"/>
      <c r="AK636" s="150"/>
      <c r="AL636" s="150"/>
    </row>
    <row r="637">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c r="AH637" s="150"/>
      <c r="AI637" s="150"/>
      <c r="AJ637" s="150"/>
      <c r="AK637" s="150"/>
      <c r="AL637" s="150"/>
    </row>
    <row r="638">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c r="AH638" s="150"/>
      <c r="AI638" s="150"/>
      <c r="AJ638" s="150"/>
      <c r="AK638" s="150"/>
      <c r="AL638" s="150"/>
    </row>
    <row r="639">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c r="AH639" s="150"/>
      <c r="AI639" s="150"/>
      <c r="AJ639" s="150"/>
      <c r="AK639" s="150"/>
      <c r="AL639" s="150"/>
    </row>
    <row r="640">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c r="AH640" s="150"/>
      <c r="AI640" s="150"/>
      <c r="AJ640" s="150"/>
      <c r="AK640" s="150"/>
      <c r="AL640" s="150"/>
    </row>
    <row r="64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c r="AH641" s="150"/>
      <c r="AI641" s="150"/>
      <c r="AJ641" s="150"/>
      <c r="AK641" s="150"/>
      <c r="AL641" s="150"/>
    </row>
    <row r="64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c r="AH642" s="150"/>
      <c r="AI642" s="150"/>
      <c r="AJ642" s="150"/>
      <c r="AK642" s="150"/>
      <c r="AL642" s="150"/>
    </row>
    <row r="64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c r="AH643" s="150"/>
      <c r="AI643" s="150"/>
      <c r="AJ643" s="150"/>
      <c r="AK643" s="150"/>
      <c r="AL643" s="150"/>
    </row>
    <row r="644">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c r="AH644" s="150"/>
      <c r="AI644" s="150"/>
      <c r="AJ644" s="150"/>
      <c r="AK644" s="150"/>
      <c r="AL644" s="150"/>
    </row>
    <row r="645">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c r="AH645" s="150"/>
      <c r="AI645" s="150"/>
      <c r="AJ645" s="150"/>
      <c r="AK645" s="150"/>
      <c r="AL645" s="150"/>
    </row>
    <row r="646">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c r="AH646" s="150"/>
      <c r="AI646" s="150"/>
      <c r="AJ646" s="150"/>
      <c r="AK646" s="150"/>
      <c r="AL646" s="150"/>
    </row>
    <row r="647">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c r="AH647" s="150"/>
      <c r="AI647" s="150"/>
      <c r="AJ647" s="150"/>
      <c r="AK647" s="150"/>
      <c r="AL647" s="150"/>
    </row>
    <row r="648">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c r="AH648" s="150"/>
      <c r="AI648" s="150"/>
      <c r="AJ648" s="150"/>
      <c r="AK648" s="150"/>
      <c r="AL648" s="150"/>
    </row>
    <row r="649">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c r="AH649" s="150"/>
      <c r="AI649" s="150"/>
      <c r="AJ649" s="150"/>
      <c r="AK649" s="150"/>
      <c r="AL649" s="150"/>
    </row>
    <row r="650">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c r="AH650" s="150"/>
      <c r="AI650" s="150"/>
      <c r="AJ650" s="150"/>
      <c r="AK650" s="150"/>
      <c r="AL650" s="150"/>
    </row>
    <row r="65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c r="AH651" s="150"/>
      <c r="AI651" s="150"/>
      <c r="AJ651" s="150"/>
      <c r="AK651" s="150"/>
      <c r="AL651" s="150"/>
    </row>
    <row r="652">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c r="AH652" s="150"/>
      <c r="AI652" s="150"/>
      <c r="AJ652" s="150"/>
      <c r="AK652" s="150"/>
      <c r="AL652" s="150"/>
    </row>
    <row r="65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c r="AH653" s="150"/>
      <c r="AI653" s="150"/>
      <c r="AJ653" s="150"/>
      <c r="AK653" s="150"/>
      <c r="AL653" s="150"/>
    </row>
    <row r="654">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c r="AH654" s="150"/>
      <c r="AI654" s="150"/>
      <c r="AJ654" s="150"/>
      <c r="AK654" s="150"/>
      <c r="AL654" s="150"/>
    </row>
    <row r="655">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c r="AH655" s="150"/>
      <c r="AI655" s="150"/>
      <c r="AJ655" s="150"/>
      <c r="AK655" s="150"/>
      <c r="AL655" s="150"/>
    </row>
    <row r="656">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c r="AH656" s="150"/>
      <c r="AI656" s="150"/>
      <c r="AJ656" s="150"/>
      <c r="AK656" s="150"/>
      <c r="AL656" s="150"/>
    </row>
    <row r="657">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c r="AH657" s="150"/>
      <c r="AI657" s="150"/>
      <c r="AJ657" s="150"/>
      <c r="AK657" s="150"/>
      <c r="AL657" s="150"/>
    </row>
    <row r="658">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c r="AH658" s="150"/>
      <c r="AI658" s="150"/>
      <c r="AJ658" s="150"/>
      <c r="AK658" s="150"/>
      <c r="AL658" s="150"/>
    </row>
    <row r="659">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c r="AH659" s="150"/>
      <c r="AI659" s="150"/>
      <c r="AJ659" s="150"/>
      <c r="AK659" s="150"/>
      <c r="AL659" s="150"/>
    </row>
    <row r="660">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c r="AH660" s="150"/>
      <c r="AI660" s="150"/>
      <c r="AJ660" s="150"/>
      <c r="AK660" s="150"/>
      <c r="AL660" s="150"/>
    </row>
    <row r="66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c r="AH661" s="150"/>
      <c r="AI661" s="150"/>
      <c r="AJ661" s="150"/>
      <c r="AK661" s="150"/>
      <c r="AL661" s="150"/>
    </row>
    <row r="66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c r="AH662" s="150"/>
      <c r="AI662" s="150"/>
      <c r="AJ662" s="150"/>
      <c r="AK662" s="150"/>
      <c r="AL662" s="150"/>
    </row>
    <row r="66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c r="AH663" s="150"/>
      <c r="AI663" s="150"/>
      <c r="AJ663" s="150"/>
      <c r="AK663" s="150"/>
      <c r="AL663" s="150"/>
    </row>
    <row r="664">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c r="AH664" s="150"/>
      <c r="AI664" s="150"/>
      <c r="AJ664" s="150"/>
      <c r="AK664" s="150"/>
      <c r="AL664" s="150"/>
    </row>
    <row r="665">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c r="AH665" s="150"/>
      <c r="AI665" s="150"/>
      <c r="AJ665" s="150"/>
      <c r="AK665" s="150"/>
      <c r="AL665" s="150"/>
    </row>
    <row r="666">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c r="AH666" s="150"/>
      <c r="AI666" s="150"/>
      <c r="AJ666" s="150"/>
      <c r="AK666" s="150"/>
      <c r="AL666" s="150"/>
    </row>
    <row r="667">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c r="AH667" s="150"/>
      <c r="AI667" s="150"/>
      <c r="AJ667" s="150"/>
      <c r="AK667" s="150"/>
      <c r="AL667" s="150"/>
    </row>
    <row r="668">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c r="AH668" s="150"/>
      <c r="AI668" s="150"/>
      <c r="AJ668" s="150"/>
      <c r="AK668" s="150"/>
      <c r="AL668" s="150"/>
    </row>
    <row r="669">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c r="AH669" s="150"/>
      <c r="AI669" s="150"/>
      <c r="AJ669" s="150"/>
      <c r="AK669" s="150"/>
      <c r="AL669" s="150"/>
    </row>
    <row r="670">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c r="AH670" s="150"/>
      <c r="AI670" s="150"/>
      <c r="AJ670" s="150"/>
      <c r="AK670" s="150"/>
      <c r="AL670" s="150"/>
    </row>
    <row r="67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c r="AH671" s="150"/>
      <c r="AI671" s="150"/>
      <c r="AJ671" s="150"/>
      <c r="AK671" s="150"/>
      <c r="AL671" s="150"/>
    </row>
    <row r="67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c r="AH672" s="150"/>
      <c r="AI672" s="150"/>
      <c r="AJ672" s="150"/>
      <c r="AK672" s="150"/>
      <c r="AL672" s="150"/>
    </row>
    <row r="67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c r="AH673" s="150"/>
      <c r="AI673" s="150"/>
      <c r="AJ673" s="150"/>
      <c r="AK673" s="150"/>
      <c r="AL673" s="150"/>
    </row>
    <row r="674">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c r="AH674" s="150"/>
      <c r="AI674" s="150"/>
      <c r="AJ674" s="150"/>
      <c r="AK674" s="150"/>
      <c r="AL674" s="150"/>
    </row>
    <row r="675">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c r="AH675" s="150"/>
      <c r="AI675" s="150"/>
      <c r="AJ675" s="150"/>
      <c r="AK675" s="150"/>
      <c r="AL675" s="150"/>
    </row>
    <row r="676">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c r="AH676" s="150"/>
      <c r="AI676" s="150"/>
      <c r="AJ676" s="150"/>
      <c r="AK676" s="150"/>
      <c r="AL676" s="150"/>
    </row>
    <row r="677">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c r="AH677" s="150"/>
      <c r="AI677" s="150"/>
      <c r="AJ677" s="150"/>
      <c r="AK677" s="150"/>
      <c r="AL677" s="150"/>
    </row>
    <row r="678">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c r="AH678" s="150"/>
      <c r="AI678" s="150"/>
      <c r="AJ678" s="150"/>
      <c r="AK678" s="150"/>
      <c r="AL678" s="150"/>
    </row>
    <row r="679">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c r="AH679" s="150"/>
      <c r="AI679" s="150"/>
      <c r="AJ679" s="150"/>
      <c r="AK679" s="150"/>
      <c r="AL679" s="150"/>
    </row>
    <row r="680">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c r="AH680" s="150"/>
      <c r="AI680" s="150"/>
      <c r="AJ680" s="150"/>
      <c r="AK680" s="150"/>
      <c r="AL680" s="150"/>
    </row>
    <row r="68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c r="AH681" s="150"/>
      <c r="AI681" s="150"/>
      <c r="AJ681" s="150"/>
      <c r="AK681" s="150"/>
      <c r="AL681" s="150"/>
    </row>
    <row r="682">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c r="AH682" s="150"/>
      <c r="AI682" s="150"/>
      <c r="AJ682" s="150"/>
      <c r="AK682" s="150"/>
      <c r="AL682" s="150"/>
    </row>
    <row r="68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c r="AH683" s="150"/>
      <c r="AI683" s="150"/>
      <c r="AJ683" s="150"/>
      <c r="AK683" s="150"/>
      <c r="AL683" s="150"/>
    </row>
    <row r="684">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c r="AH684" s="150"/>
      <c r="AI684" s="150"/>
      <c r="AJ684" s="150"/>
      <c r="AK684" s="150"/>
      <c r="AL684" s="150"/>
    </row>
    <row r="685">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c r="AH685" s="150"/>
      <c r="AI685" s="150"/>
      <c r="AJ685" s="150"/>
      <c r="AK685" s="150"/>
      <c r="AL685" s="150"/>
    </row>
    <row r="686">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c r="AH686" s="150"/>
      <c r="AI686" s="150"/>
      <c r="AJ686" s="150"/>
      <c r="AK686" s="150"/>
      <c r="AL686" s="150"/>
    </row>
    <row r="687">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c r="AH687" s="150"/>
      <c r="AI687" s="150"/>
      <c r="AJ687" s="150"/>
      <c r="AK687" s="150"/>
      <c r="AL687" s="150"/>
    </row>
    <row r="688">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c r="AH688" s="150"/>
      <c r="AI688" s="150"/>
      <c r="AJ688" s="150"/>
      <c r="AK688" s="150"/>
      <c r="AL688" s="150"/>
    </row>
    <row r="689">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c r="AH689" s="150"/>
      <c r="AI689" s="150"/>
      <c r="AJ689" s="150"/>
      <c r="AK689" s="150"/>
      <c r="AL689" s="150"/>
    </row>
    <row r="690">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c r="AH690" s="150"/>
      <c r="AI690" s="150"/>
      <c r="AJ690" s="150"/>
      <c r="AK690" s="150"/>
      <c r="AL690" s="150"/>
    </row>
    <row r="69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c r="AH691" s="150"/>
      <c r="AI691" s="150"/>
      <c r="AJ691" s="150"/>
      <c r="AK691" s="150"/>
      <c r="AL691" s="150"/>
    </row>
    <row r="69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c r="AH692" s="150"/>
      <c r="AI692" s="150"/>
      <c r="AJ692" s="150"/>
      <c r="AK692" s="150"/>
      <c r="AL692" s="150"/>
    </row>
    <row r="69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c r="AH693" s="150"/>
      <c r="AI693" s="150"/>
      <c r="AJ693" s="150"/>
      <c r="AK693" s="150"/>
      <c r="AL693" s="150"/>
    </row>
    <row r="694">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c r="AH694" s="150"/>
      <c r="AI694" s="150"/>
      <c r="AJ694" s="150"/>
      <c r="AK694" s="150"/>
      <c r="AL694" s="150"/>
    </row>
    <row r="695">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c r="AH695" s="150"/>
      <c r="AI695" s="150"/>
      <c r="AJ695" s="150"/>
      <c r="AK695" s="150"/>
      <c r="AL695" s="150"/>
    </row>
    <row r="696">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c r="AH696" s="150"/>
      <c r="AI696" s="150"/>
      <c r="AJ696" s="150"/>
      <c r="AK696" s="150"/>
      <c r="AL696" s="150"/>
    </row>
    <row r="697">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c r="AH697" s="150"/>
      <c r="AI697" s="150"/>
      <c r="AJ697" s="150"/>
      <c r="AK697" s="150"/>
      <c r="AL697" s="150"/>
    </row>
    <row r="698">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c r="AH698" s="150"/>
      <c r="AI698" s="150"/>
      <c r="AJ698" s="150"/>
      <c r="AK698" s="150"/>
      <c r="AL698" s="150"/>
    </row>
    <row r="699">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c r="AH699" s="150"/>
      <c r="AI699" s="150"/>
      <c r="AJ699" s="150"/>
      <c r="AK699" s="150"/>
      <c r="AL699" s="150"/>
    </row>
    <row r="700">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c r="AD700" s="150"/>
      <c r="AE700" s="150"/>
      <c r="AF700" s="150"/>
      <c r="AG700" s="150"/>
      <c r="AH700" s="150"/>
      <c r="AI700" s="150"/>
      <c r="AJ700" s="150"/>
      <c r="AK700" s="150"/>
      <c r="AL700" s="150"/>
    </row>
    <row r="70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c r="AD701" s="150"/>
      <c r="AE701" s="150"/>
      <c r="AF701" s="150"/>
      <c r="AG701" s="150"/>
      <c r="AH701" s="150"/>
      <c r="AI701" s="150"/>
      <c r="AJ701" s="150"/>
      <c r="AK701" s="150"/>
      <c r="AL701" s="150"/>
    </row>
    <row r="702">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c r="AD702" s="150"/>
      <c r="AE702" s="150"/>
      <c r="AF702" s="150"/>
      <c r="AG702" s="150"/>
      <c r="AH702" s="150"/>
      <c r="AI702" s="150"/>
      <c r="AJ702" s="150"/>
      <c r="AK702" s="150"/>
      <c r="AL702" s="150"/>
    </row>
    <row r="7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c r="AD703" s="150"/>
      <c r="AE703" s="150"/>
      <c r="AF703" s="150"/>
      <c r="AG703" s="150"/>
      <c r="AH703" s="150"/>
      <c r="AI703" s="150"/>
      <c r="AJ703" s="150"/>
      <c r="AK703" s="150"/>
      <c r="AL703" s="150"/>
    </row>
    <row r="704">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c r="AD704" s="150"/>
      <c r="AE704" s="150"/>
      <c r="AF704" s="150"/>
      <c r="AG704" s="150"/>
      <c r="AH704" s="150"/>
      <c r="AI704" s="150"/>
      <c r="AJ704" s="150"/>
      <c r="AK704" s="150"/>
      <c r="AL704" s="150"/>
    </row>
    <row r="705">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c r="AD705" s="150"/>
      <c r="AE705" s="150"/>
      <c r="AF705" s="150"/>
      <c r="AG705" s="150"/>
      <c r="AH705" s="150"/>
      <c r="AI705" s="150"/>
      <c r="AJ705" s="150"/>
      <c r="AK705" s="150"/>
      <c r="AL705" s="150"/>
    </row>
    <row r="706">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c r="AD706" s="150"/>
      <c r="AE706" s="150"/>
      <c r="AF706" s="150"/>
      <c r="AG706" s="150"/>
      <c r="AH706" s="150"/>
      <c r="AI706" s="150"/>
      <c r="AJ706" s="150"/>
      <c r="AK706" s="150"/>
      <c r="AL706" s="150"/>
    </row>
    <row r="707">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c r="AD707" s="150"/>
      <c r="AE707" s="150"/>
      <c r="AF707" s="150"/>
      <c r="AG707" s="150"/>
      <c r="AH707" s="150"/>
      <c r="AI707" s="150"/>
      <c r="AJ707" s="150"/>
      <c r="AK707" s="150"/>
      <c r="AL707" s="150"/>
    </row>
    <row r="708">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c r="AD708" s="150"/>
      <c r="AE708" s="150"/>
      <c r="AF708" s="150"/>
      <c r="AG708" s="150"/>
      <c r="AH708" s="150"/>
      <c r="AI708" s="150"/>
      <c r="AJ708" s="150"/>
      <c r="AK708" s="150"/>
      <c r="AL708" s="150"/>
    </row>
    <row r="709">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c r="AD709" s="150"/>
      <c r="AE709" s="150"/>
      <c r="AF709" s="150"/>
      <c r="AG709" s="150"/>
      <c r="AH709" s="150"/>
      <c r="AI709" s="150"/>
      <c r="AJ709" s="150"/>
      <c r="AK709" s="150"/>
      <c r="AL709" s="150"/>
    </row>
    <row r="710">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c r="AD710" s="150"/>
      <c r="AE710" s="150"/>
      <c r="AF710" s="150"/>
      <c r="AG710" s="150"/>
      <c r="AH710" s="150"/>
      <c r="AI710" s="150"/>
      <c r="AJ710" s="150"/>
      <c r="AK710" s="150"/>
      <c r="AL710" s="150"/>
    </row>
    <row r="71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c r="AD711" s="150"/>
      <c r="AE711" s="150"/>
      <c r="AF711" s="150"/>
      <c r="AG711" s="150"/>
      <c r="AH711" s="150"/>
      <c r="AI711" s="150"/>
      <c r="AJ711" s="150"/>
      <c r="AK711" s="150"/>
      <c r="AL711" s="150"/>
    </row>
    <row r="712">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c r="AD712" s="150"/>
      <c r="AE712" s="150"/>
      <c r="AF712" s="150"/>
      <c r="AG712" s="150"/>
      <c r="AH712" s="150"/>
      <c r="AI712" s="150"/>
      <c r="AJ712" s="150"/>
      <c r="AK712" s="150"/>
      <c r="AL712" s="150"/>
    </row>
    <row r="71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c r="AD713" s="150"/>
      <c r="AE713" s="150"/>
      <c r="AF713" s="150"/>
      <c r="AG713" s="150"/>
      <c r="AH713" s="150"/>
      <c r="AI713" s="150"/>
      <c r="AJ713" s="150"/>
      <c r="AK713" s="150"/>
      <c r="AL713" s="150"/>
    </row>
    <row r="714">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c r="AD714" s="150"/>
      <c r="AE714" s="150"/>
      <c r="AF714" s="150"/>
      <c r="AG714" s="150"/>
      <c r="AH714" s="150"/>
      <c r="AI714" s="150"/>
      <c r="AJ714" s="150"/>
      <c r="AK714" s="150"/>
      <c r="AL714" s="150"/>
    </row>
    <row r="715">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c r="AD715" s="150"/>
      <c r="AE715" s="150"/>
      <c r="AF715" s="150"/>
      <c r="AG715" s="150"/>
      <c r="AH715" s="150"/>
      <c r="AI715" s="150"/>
      <c r="AJ715" s="150"/>
      <c r="AK715" s="150"/>
      <c r="AL715" s="150"/>
    </row>
    <row r="716">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c r="AD716" s="150"/>
      <c r="AE716" s="150"/>
      <c r="AF716" s="150"/>
      <c r="AG716" s="150"/>
      <c r="AH716" s="150"/>
      <c r="AI716" s="150"/>
      <c r="AJ716" s="150"/>
      <c r="AK716" s="150"/>
      <c r="AL716" s="150"/>
    </row>
    <row r="717">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c r="AD717" s="150"/>
      <c r="AE717" s="150"/>
      <c r="AF717" s="150"/>
      <c r="AG717" s="150"/>
      <c r="AH717" s="150"/>
      <c r="AI717" s="150"/>
      <c r="AJ717" s="150"/>
      <c r="AK717" s="150"/>
      <c r="AL717" s="150"/>
    </row>
    <row r="718">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c r="AD718" s="150"/>
      <c r="AE718" s="150"/>
      <c r="AF718" s="150"/>
      <c r="AG718" s="150"/>
      <c r="AH718" s="150"/>
      <c r="AI718" s="150"/>
      <c r="AJ718" s="150"/>
      <c r="AK718" s="150"/>
      <c r="AL718" s="150"/>
    </row>
    <row r="719">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c r="AD719" s="150"/>
      <c r="AE719" s="150"/>
      <c r="AF719" s="150"/>
      <c r="AG719" s="150"/>
      <c r="AH719" s="150"/>
      <c r="AI719" s="150"/>
      <c r="AJ719" s="150"/>
      <c r="AK719" s="150"/>
      <c r="AL719" s="150"/>
    </row>
    <row r="720">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c r="AD720" s="150"/>
      <c r="AE720" s="150"/>
      <c r="AF720" s="150"/>
      <c r="AG720" s="150"/>
      <c r="AH720" s="150"/>
      <c r="AI720" s="150"/>
      <c r="AJ720" s="150"/>
      <c r="AK720" s="150"/>
      <c r="AL720" s="150"/>
    </row>
    <row r="72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c r="AD721" s="150"/>
      <c r="AE721" s="150"/>
      <c r="AF721" s="150"/>
      <c r="AG721" s="150"/>
      <c r="AH721" s="150"/>
      <c r="AI721" s="150"/>
      <c r="AJ721" s="150"/>
      <c r="AK721" s="150"/>
      <c r="AL721" s="150"/>
    </row>
    <row r="722">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c r="AD722" s="150"/>
      <c r="AE722" s="150"/>
      <c r="AF722" s="150"/>
      <c r="AG722" s="150"/>
      <c r="AH722" s="150"/>
      <c r="AI722" s="150"/>
      <c r="AJ722" s="150"/>
      <c r="AK722" s="150"/>
      <c r="AL722" s="150"/>
    </row>
    <row r="72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c r="AD723" s="150"/>
      <c r="AE723" s="150"/>
      <c r="AF723" s="150"/>
      <c r="AG723" s="150"/>
      <c r="AH723" s="150"/>
      <c r="AI723" s="150"/>
      <c r="AJ723" s="150"/>
      <c r="AK723" s="150"/>
      <c r="AL723" s="150"/>
    </row>
    <row r="724">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c r="AD724" s="150"/>
      <c r="AE724" s="150"/>
      <c r="AF724" s="150"/>
      <c r="AG724" s="150"/>
      <c r="AH724" s="150"/>
      <c r="AI724" s="150"/>
      <c r="AJ724" s="150"/>
      <c r="AK724" s="150"/>
      <c r="AL724" s="150"/>
    </row>
    <row r="725">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c r="AD725" s="150"/>
      <c r="AE725" s="150"/>
      <c r="AF725" s="150"/>
      <c r="AG725" s="150"/>
      <c r="AH725" s="150"/>
      <c r="AI725" s="150"/>
      <c r="AJ725" s="150"/>
      <c r="AK725" s="150"/>
      <c r="AL725" s="150"/>
    </row>
    <row r="726">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c r="AD726" s="150"/>
      <c r="AE726" s="150"/>
      <c r="AF726" s="150"/>
      <c r="AG726" s="150"/>
      <c r="AH726" s="150"/>
      <c r="AI726" s="150"/>
      <c r="AJ726" s="150"/>
      <c r="AK726" s="150"/>
      <c r="AL726" s="150"/>
    </row>
    <row r="727">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50"/>
      <c r="AE727" s="150"/>
      <c r="AF727" s="150"/>
      <c r="AG727" s="150"/>
      <c r="AH727" s="150"/>
      <c r="AI727" s="150"/>
      <c r="AJ727" s="150"/>
      <c r="AK727" s="150"/>
      <c r="AL727" s="150"/>
    </row>
    <row r="728">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c r="AD728" s="150"/>
      <c r="AE728" s="150"/>
      <c r="AF728" s="150"/>
      <c r="AG728" s="150"/>
      <c r="AH728" s="150"/>
      <c r="AI728" s="150"/>
      <c r="AJ728" s="150"/>
      <c r="AK728" s="150"/>
      <c r="AL728" s="150"/>
    </row>
    <row r="729">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c r="AD729" s="150"/>
      <c r="AE729" s="150"/>
      <c r="AF729" s="150"/>
      <c r="AG729" s="150"/>
      <c r="AH729" s="150"/>
      <c r="AI729" s="150"/>
      <c r="AJ729" s="150"/>
      <c r="AK729" s="150"/>
      <c r="AL729" s="150"/>
    </row>
    <row r="730">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c r="AD730" s="150"/>
      <c r="AE730" s="150"/>
      <c r="AF730" s="150"/>
      <c r="AG730" s="150"/>
      <c r="AH730" s="150"/>
      <c r="AI730" s="150"/>
      <c r="AJ730" s="150"/>
      <c r="AK730" s="150"/>
      <c r="AL730" s="150"/>
    </row>
    <row r="73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c r="AD731" s="150"/>
      <c r="AE731" s="150"/>
      <c r="AF731" s="150"/>
      <c r="AG731" s="150"/>
      <c r="AH731" s="150"/>
      <c r="AI731" s="150"/>
      <c r="AJ731" s="150"/>
      <c r="AK731" s="150"/>
      <c r="AL731" s="150"/>
    </row>
    <row r="732">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c r="AD732" s="150"/>
      <c r="AE732" s="150"/>
      <c r="AF732" s="150"/>
      <c r="AG732" s="150"/>
      <c r="AH732" s="150"/>
      <c r="AI732" s="150"/>
      <c r="AJ732" s="150"/>
      <c r="AK732" s="150"/>
      <c r="AL732" s="150"/>
    </row>
    <row r="73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c r="AD733" s="150"/>
      <c r="AE733" s="150"/>
      <c r="AF733" s="150"/>
      <c r="AG733" s="150"/>
      <c r="AH733" s="150"/>
      <c r="AI733" s="150"/>
      <c r="AJ733" s="150"/>
      <c r="AK733" s="150"/>
      <c r="AL733" s="150"/>
    </row>
    <row r="734">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c r="AD734" s="150"/>
      <c r="AE734" s="150"/>
      <c r="AF734" s="150"/>
      <c r="AG734" s="150"/>
      <c r="AH734" s="150"/>
      <c r="AI734" s="150"/>
      <c r="AJ734" s="150"/>
      <c r="AK734" s="150"/>
      <c r="AL734" s="150"/>
    </row>
    <row r="735">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c r="AD735" s="150"/>
      <c r="AE735" s="150"/>
      <c r="AF735" s="150"/>
      <c r="AG735" s="150"/>
      <c r="AH735" s="150"/>
      <c r="AI735" s="150"/>
      <c r="AJ735" s="150"/>
      <c r="AK735" s="150"/>
      <c r="AL735" s="150"/>
    </row>
    <row r="736">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c r="AD736" s="150"/>
      <c r="AE736" s="150"/>
      <c r="AF736" s="150"/>
      <c r="AG736" s="150"/>
      <c r="AH736" s="150"/>
      <c r="AI736" s="150"/>
      <c r="AJ736" s="150"/>
      <c r="AK736" s="150"/>
      <c r="AL736" s="150"/>
    </row>
    <row r="737">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c r="AD737" s="150"/>
      <c r="AE737" s="150"/>
      <c r="AF737" s="150"/>
      <c r="AG737" s="150"/>
      <c r="AH737" s="150"/>
      <c r="AI737" s="150"/>
      <c r="AJ737" s="150"/>
      <c r="AK737" s="150"/>
      <c r="AL737" s="150"/>
    </row>
    <row r="738">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c r="AD738" s="150"/>
      <c r="AE738" s="150"/>
      <c r="AF738" s="150"/>
      <c r="AG738" s="150"/>
      <c r="AH738" s="150"/>
      <c r="AI738" s="150"/>
      <c r="AJ738" s="150"/>
      <c r="AK738" s="150"/>
      <c r="AL738" s="150"/>
    </row>
    <row r="739">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c r="AD739" s="150"/>
      <c r="AE739" s="150"/>
      <c r="AF739" s="150"/>
      <c r="AG739" s="150"/>
      <c r="AH739" s="150"/>
      <c r="AI739" s="150"/>
      <c r="AJ739" s="150"/>
      <c r="AK739" s="150"/>
      <c r="AL739" s="150"/>
    </row>
    <row r="740">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c r="AD740" s="150"/>
      <c r="AE740" s="150"/>
      <c r="AF740" s="150"/>
      <c r="AG740" s="150"/>
      <c r="AH740" s="150"/>
      <c r="AI740" s="150"/>
      <c r="AJ740" s="150"/>
      <c r="AK740" s="150"/>
      <c r="AL740" s="150"/>
    </row>
    <row r="74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c r="AD741" s="150"/>
      <c r="AE741" s="150"/>
      <c r="AF741" s="150"/>
      <c r="AG741" s="150"/>
      <c r="AH741" s="150"/>
      <c r="AI741" s="150"/>
      <c r="AJ741" s="150"/>
      <c r="AK741" s="150"/>
      <c r="AL741" s="150"/>
    </row>
    <row r="742">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c r="AD742" s="150"/>
      <c r="AE742" s="150"/>
      <c r="AF742" s="150"/>
      <c r="AG742" s="150"/>
      <c r="AH742" s="150"/>
      <c r="AI742" s="150"/>
      <c r="AJ742" s="150"/>
      <c r="AK742" s="150"/>
      <c r="AL742" s="150"/>
    </row>
    <row r="74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c r="AD743" s="150"/>
      <c r="AE743" s="150"/>
      <c r="AF743" s="150"/>
      <c r="AG743" s="150"/>
      <c r="AH743" s="150"/>
      <c r="AI743" s="150"/>
      <c r="AJ743" s="150"/>
      <c r="AK743" s="150"/>
      <c r="AL743" s="150"/>
    </row>
    <row r="744">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c r="AD744" s="150"/>
      <c r="AE744" s="150"/>
      <c r="AF744" s="150"/>
      <c r="AG744" s="150"/>
      <c r="AH744" s="150"/>
      <c r="AI744" s="150"/>
      <c r="AJ744" s="150"/>
      <c r="AK744" s="150"/>
      <c r="AL744" s="150"/>
    </row>
    <row r="745">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c r="AD745" s="150"/>
      <c r="AE745" s="150"/>
      <c r="AF745" s="150"/>
      <c r="AG745" s="150"/>
      <c r="AH745" s="150"/>
      <c r="AI745" s="150"/>
      <c r="AJ745" s="150"/>
      <c r="AK745" s="150"/>
      <c r="AL745" s="150"/>
    </row>
    <row r="746">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c r="AD746" s="150"/>
      <c r="AE746" s="150"/>
      <c r="AF746" s="150"/>
      <c r="AG746" s="150"/>
      <c r="AH746" s="150"/>
      <c r="AI746" s="150"/>
      <c r="AJ746" s="150"/>
      <c r="AK746" s="150"/>
      <c r="AL746" s="150"/>
    </row>
    <row r="747">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c r="AD747" s="150"/>
      <c r="AE747" s="150"/>
      <c r="AF747" s="150"/>
      <c r="AG747" s="150"/>
      <c r="AH747" s="150"/>
      <c r="AI747" s="150"/>
      <c r="AJ747" s="150"/>
      <c r="AK747" s="150"/>
      <c r="AL747" s="150"/>
    </row>
    <row r="748">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c r="AD748" s="150"/>
      <c r="AE748" s="150"/>
      <c r="AF748" s="150"/>
      <c r="AG748" s="150"/>
      <c r="AH748" s="150"/>
      <c r="AI748" s="150"/>
      <c r="AJ748" s="150"/>
      <c r="AK748" s="150"/>
      <c r="AL748" s="150"/>
    </row>
    <row r="749">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c r="AD749" s="150"/>
      <c r="AE749" s="150"/>
      <c r="AF749" s="150"/>
      <c r="AG749" s="150"/>
      <c r="AH749" s="150"/>
      <c r="AI749" s="150"/>
      <c r="AJ749" s="150"/>
      <c r="AK749" s="150"/>
      <c r="AL749" s="150"/>
    </row>
    <row r="750">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c r="AD750" s="150"/>
      <c r="AE750" s="150"/>
      <c r="AF750" s="150"/>
      <c r="AG750" s="150"/>
      <c r="AH750" s="150"/>
      <c r="AI750" s="150"/>
      <c r="AJ750" s="150"/>
      <c r="AK750" s="150"/>
      <c r="AL750" s="150"/>
    </row>
    <row r="75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c r="AD751" s="150"/>
      <c r="AE751" s="150"/>
      <c r="AF751" s="150"/>
      <c r="AG751" s="150"/>
      <c r="AH751" s="150"/>
      <c r="AI751" s="150"/>
      <c r="AJ751" s="150"/>
      <c r="AK751" s="150"/>
      <c r="AL751" s="150"/>
    </row>
    <row r="752">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c r="AD752" s="150"/>
      <c r="AE752" s="150"/>
      <c r="AF752" s="150"/>
      <c r="AG752" s="150"/>
      <c r="AH752" s="150"/>
      <c r="AI752" s="150"/>
      <c r="AJ752" s="150"/>
      <c r="AK752" s="150"/>
      <c r="AL752" s="150"/>
    </row>
    <row r="75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c r="AD753" s="150"/>
      <c r="AE753" s="150"/>
      <c r="AF753" s="150"/>
      <c r="AG753" s="150"/>
      <c r="AH753" s="150"/>
      <c r="AI753" s="150"/>
      <c r="AJ753" s="150"/>
      <c r="AK753" s="150"/>
      <c r="AL753" s="150"/>
    </row>
    <row r="754">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c r="AD754" s="150"/>
      <c r="AE754" s="150"/>
      <c r="AF754" s="150"/>
      <c r="AG754" s="150"/>
      <c r="AH754" s="150"/>
      <c r="AI754" s="150"/>
      <c r="AJ754" s="150"/>
      <c r="AK754" s="150"/>
      <c r="AL754" s="150"/>
    </row>
    <row r="755">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c r="AD755" s="150"/>
      <c r="AE755" s="150"/>
      <c r="AF755" s="150"/>
      <c r="AG755" s="150"/>
      <c r="AH755" s="150"/>
      <c r="AI755" s="150"/>
      <c r="AJ755" s="150"/>
      <c r="AK755" s="150"/>
      <c r="AL755" s="150"/>
    </row>
    <row r="756">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c r="AD756" s="150"/>
      <c r="AE756" s="150"/>
      <c r="AF756" s="150"/>
      <c r="AG756" s="150"/>
      <c r="AH756" s="150"/>
      <c r="AI756" s="150"/>
      <c r="AJ756" s="150"/>
      <c r="AK756" s="150"/>
      <c r="AL756" s="150"/>
    </row>
    <row r="757">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c r="AD757" s="150"/>
      <c r="AE757" s="150"/>
      <c r="AF757" s="150"/>
      <c r="AG757" s="150"/>
      <c r="AH757" s="150"/>
      <c r="AI757" s="150"/>
      <c r="AJ757" s="150"/>
      <c r="AK757" s="150"/>
      <c r="AL757" s="150"/>
    </row>
    <row r="758">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c r="AD758" s="150"/>
      <c r="AE758" s="150"/>
      <c r="AF758" s="150"/>
      <c r="AG758" s="150"/>
      <c r="AH758" s="150"/>
      <c r="AI758" s="150"/>
      <c r="AJ758" s="150"/>
      <c r="AK758" s="150"/>
      <c r="AL758" s="150"/>
    </row>
    <row r="759">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c r="AD759" s="150"/>
      <c r="AE759" s="150"/>
      <c r="AF759" s="150"/>
      <c r="AG759" s="150"/>
      <c r="AH759" s="150"/>
      <c r="AI759" s="150"/>
      <c r="AJ759" s="150"/>
      <c r="AK759" s="150"/>
      <c r="AL759" s="150"/>
    </row>
    <row r="760">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c r="AD760" s="150"/>
      <c r="AE760" s="150"/>
      <c r="AF760" s="150"/>
      <c r="AG760" s="150"/>
      <c r="AH760" s="150"/>
      <c r="AI760" s="150"/>
      <c r="AJ760" s="150"/>
      <c r="AK760" s="150"/>
      <c r="AL760" s="150"/>
    </row>
    <row r="76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c r="AD761" s="150"/>
      <c r="AE761" s="150"/>
      <c r="AF761" s="150"/>
      <c r="AG761" s="150"/>
      <c r="AH761" s="150"/>
      <c r="AI761" s="150"/>
      <c r="AJ761" s="150"/>
      <c r="AK761" s="150"/>
      <c r="AL761" s="150"/>
    </row>
    <row r="762">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c r="AD762" s="150"/>
      <c r="AE762" s="150"/>
      <c r="AF762" s="150"/>
      <c r="AG762" s="150"/>
      <c r="AH762" s="150"/>
      <c r="AI762" s="150"/>
      <c r="AJ762" s="150"/>
      <c r="AK762" s="150"/>
      <c r="AL762" s="150"/>
    </row>
    <row r="76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c r="AD763" s="150"/>
      <c r="AE763" s="150"/>
      <c r="AF763" s="150"/>
      <c r="AG763" s="150"/>
      <c r="AH763" s="150"/>
      <c r="AI763" s="150"/>
      <c r="AJ763" s="150"/>
      <c r="AK763" s="150"/>
      <c r="AL763" s="150"/>
    </row>
    <row r="764">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c r="AD764" s="150"/>
      <c r="AE764" s="150"/>
      <c r="AF764" s="150"/>
      <c r="AG764" s="150"/>
      <c r="AH764" s="150"/>
      <c r="AI764" s="150"/>
      <c r="AJ764" s="150"/>
      <c r="AK764" s="150"/>
      <c r="AL764" s="150"/>
    </row>
    <row r="765">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c r="AD765" s="150"/>
      <c r="AE765" s="150"/>
      <c r="AF765" s="150"/>
      <c r="AG765" s="150"/>
      <c r="AH765" s="150"/>
      <c r="AI765" s="150"/>
      <c r="AJ765" s="150"/>
      <c r="AK765" s="150"/>
      <c r="AL765" s="150"/>
    </row>
    <row r="766">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c r="AD766" s="150"/>
      <c r="AE766" s="150"/>
      <c r="AF766" s="150"/>
      <c r="AG766" s="150"/>
      <c r="AH766" s="150"/>
      <c r="AI766" s="150"/>
      <c r="AJ766" s="150"/>
      <c r="AK766" s="150"/>
      <c r="AL766" s="150"/>
    </row>
    <row r="767">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c r="AD767" s="150"/>
      <c r="AE767" s="150"/>
      <c r="AF767" s="150"/>
      <c r="AG767" s="150"/>
      <c r="AH767" s="150"/>
      <c r="AI767" s="150"/>
      <c r="AJ767" s="150"/>
      <c r="AK767" s="150"/>
      <c r="AL767" s="150"/>
    </row>
    <row r="768">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c r="AD768" s="150"/>
      <c r="AE768" s="150"/>
      <c r="AF768" s="150"/>
      <c r="AG768" s="150"/>
      <c r="AH768" s="150"/>
      <c r="AI768" s="150"/>
      <c r="AJ768" s="150"/>
      <c r="AK768" s="150"/>
      <c r="AL768" s="150"/>
    </row>
    <row r="769">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c r="AD769" s="150"/>
      <c r="AE769" s="150"/>
      <c r="AF769" s="150"/>
      <c r="AG769" s="150"/>
      <c r="AH769" s="150"/>
      <c r="AI769" s="150"/>
      <c r="AJ769" s="150"/>
      <c r="AK769" s="150"/>
      <c r="AL769" s="150"/>
    </row>
    <row r="770">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c r="AD770" s="150"/>
      <c r="AE770" s="150"/>
      <c r="AF770" s="150"/>
      <c r="AG770" s="150"/>
      <c r="AH770" s="150"/>
      <c r="AI770" s="150"/>
      <c r="AJ770" s="150"/>
      <c r="AK770" s="150"/>
      <c r="AL770" s="150"/>
    </row>
    <row r="77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c r="AD771" s="150"/>
      <c r="AE771" s="150"/>
      <c r="AF771" s="150"/>
      <c r="AG771" s="150"/>
      <c r="AH771" s="150"/>
      <c r="AI771" s="150"/>
      <c r="AJ771" s="150"/>
      <c r="AK771" s="150"/>
      <c r="AL771" s="150"/>
    </row>
    <row r="772">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c r="AD772" s="150"/>
      <c r="AE772" s="150"/>
      <c r="AF772" s="150"/>
      <c r="AG772" s="150"/>
      <c r="AH772" s="150"/>
      <c r="AI772" s="150"/>
      <c r="AJ772" s="150"/>
      <c r="AK772" s="150"/>
      <c r="AL772" s="150"/>
    </row>
    <row r="77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c r="AD773" s="150"/>
      <c r="AE773" s="150"/>
      <c r="AF773" s="150"/>
      <c r="AG773" s="150"/>
      <c r="AH773" s="150"/>
      <c r="AI773" s="150"/>
      <c r="AJ773" s="150"/>
      <c r="AK773" s="150"/>
      <c r="AL773" s="150"/>
    </row>
    <row r="774">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c r="AD774" s="150"/>
      <c r="AE774" s="150"/>
      <c r="AF774" s="150"/>
      <c r="AG774" s="150"/>
      <c r="AH774" s="150"/>
      <c r="AI774" s="150"/>
      <c r="AJ774" s="150"/>
      <c r="AK774" s="150"/>
      <c r="AL774" s="150"/>
    </row>
    <row r="775">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c r="AD775" s="150"/>
      <c r="AE775" s="150"/>
      <c r="AF775" s="150"/>
      <c r="AG775" s="150"/>
      <c r="AH775" s="150"/>
      <c r="AI775" s="150"/>
      <c r="AJ775" s="150"/>
      <c r="AK775" s="150"/>
      <c r="AL775" s="150"/>
    </row>
    <row r="776">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c r="AD776" s="150"/>
      <c r="AE776" s="150"/>
      <c r="AF776" s="150"/>
      <c r="AG776" s="150"/>
      <c r="AH776" s="150"/>
      <c r="AI776" s="150"/>
      <c r="AJ776" s="150"/>
      <c r="AK776" s="150"/>
      <c r="AL776" s="150"/>
    </row>
    <row r="777">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50"/>
      <c r="AE777" s="150"/>
      <c r="AF777" s="150"/>
      <c r="AG777" s="150"/>
      <c r="AH777" s="150"/>
      <c r="AI777" s="150"/>
      <c r="AJ777" s="150"/>
      <c r="AK777" s="150"/>
      <c r="AL777" s="150"/>
    </row>
    <row r="778">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c r="AD778" s="150"/>
      <c r="AE778" s="150"/>
      <c r="AF778" s="150"/>
      <c r="AG778" s="150"/>
      <c r="AH778" s="150"/>
      <c r="AI778" s="150"/>
      <c r="AJ778" s="150"/>
      <c r="AK778" s="150"/>
      <c r="AL778" s="150"/>
    </row>
    <row r="779">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c r="AD779" s="150"/>
      <c r="AE779" s="150"/>
      <c r="AF779" s="150"/>
      <c r="AG779" s="150"/>
      <c r="AH779" s="150"/>
      <c r="AI779" s="150"/>
      <c r="AJ779" s="150"/>
      <c r="AK779" s="150"/>
      <c r="AL779" s="150"/>
    </row>
    <row r="780">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c r="AD780" s="150"/>
      <c r="AE780" s="150"/>
      <c r="AF780" s="150"/>
      <c r="AG780" s="150"/>
      <c r="AH780" s="150"/>
      <c r="AI780" s="150"/>
      <c r="AJ780" s="150"/>
      <c r="AK780" s="150"/>
      <c r="AL780" s="150"/>
    </row>
    <row r="78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c r="AD781" s="150"/>
      <c r="AE781" s="150"/>
      <c r="AF781" s="150"/>
      <c r="AG781" s="150"/>
      <c r="AH781" s="150"/>
      <c r="AI781" s="150"/>
      <c r="AJ781" s="150"/>
      <c r="AK781" s="150"/>
      <c r="AL781" s="150"/>
    </row>
    <row r="782">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c r="AD782" s="150"/>
      <c r="AE782" s="150"/>
      <c r="AF782" s="150"/>
      <c r="AG782" s="150"/>
      <c r="AH782" s="150"/>
      <c r="AI782" s="150"/>
      <c r="AJ782" s="150"/>
      <c r="AK782" s="150"/>
      <c r="AL782" s="150"/>
    </row>
    <row r="78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c r="AD783" s="150"/>
      <c r="AE783" s="150"/>
      <c r="AF783" s="150"/>
      <c r="AG783" s="150"/>
      <c r="AH783" s="150"/>
      <c r="AI783" s="150"/>
      <c r="AJ783" s="150"/>
      <c r="AK783" s="150"/>
      <c r="AL783" s="150"/>
    </row>
    <row r="784">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c r="AD784" s="150"/>
      <c r="AE784" s="150"/>
      <c r="AF784" s="150"/>
      <c r="AG784" s="150"/>
      <c r="AH784" s="150"/>
      <c r="AI784" s="150"/>
      <c r="AJ784" s="150"/>
      <c r="AK784" s="150"/>
      <c r="AL784" s="150"/>
    </row>
    <row r="785">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c r="AD785" s="150"/>
      <c r="AE785" s="150"/>
      <c r="AF785" s="150"/>
      <c r="AG785" s="150"/>
      <c r="AH785" s="150"/>
      <c r="AI785" s="150"/>
      <c r="AJ785" s="150"/>
      <c r="AK785" s="150"/>
      <c r="AL785" s="150"/>
    </row>
    <row r="786">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c r="AD786" s="150"/>
      <c r="AE786" s="150"/>
      <c r="AF786" s="150"/>
      <c r="AG786" s="150"/>
      <c r="AH786" s="150"/>
      <c r="AI786" s="150"/>
      <c r="AJ786" s="150"/>
      <c r="AK786" s="150"/>
      <c r="AL786" s="150"/>
    </row>
    <row r="787">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c r="AD787" s="150"/>
      <c r="AE787" s="150"/>
      <c r="AF787" s="150"/>
      <c r="AG787" s="150"/>
      <c r="AH787" s="150"/>
      <c r="AI787" s="150"/>
      <c r="AJ787" s="150"/>
      <c r="AK787" s="150"/>
      <c r="AL787" s="150"/>
    </row>
    <row r="788">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c r="AD788" s="150"/>
      <c r="AE788" s="150"/>
      <c r="AF788" s="150"/>
      <c r="AG788" s="150"/>
      <c r="AH788" s="150"/>
      <c r="AI788" s="150"/>
      <c r="AJ788" s="150"/>
      <c r="AK788" s="150"/>
      <c r="AL788" s="150"/>
    </row>
    <row r="789">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c r="AD789" s="150"/>
      <c r="AE789" s="150"/>
      <c r="AF789" s="150"/>
      <c r="AG789" s="150"/>
      <c r="AH789" s="150"/>
      <c r="AI789" s="150"/>
      <c r="AJ789" s="150"/>
      <c r="AK789" s="150"/>
      <c r="AL789" s="150"/>
    </row>
    <row r="790">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c r="AD790" s="150"/>
      <c r="AE790" s="150"/>
      <c r="AF790" s="150"/>
      <c r="AG790" s="150"/>
      <c r="AH790" s="150"/>
      <c r="AI790" s="150"/>
      <c r="AJ790" s="150"/>
      <c r="AK790" s="150"/>
      <c r="AL790" s="150"/>
    </row>
    <row r="79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c r="AD791" s="150"/>
      <c r="AE791" s="150"/>
      <c r="AF791" s="150"/>
      <c r="AG791" s="150"/>
      <c r="AH791" s="150"/>
      <c r="AI791" s="150"/>
      <c r="AJ791" s="150"/>
      <c r="AK791" s="150"/>
      <c r="AL791" s="150"/>
    </row>
    <row r="792">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c r="AD792" s="150"/>
      <c r="AE792" s="150"/>
      <c r="AF792" s="150"/>
      <c r="AG792" s="150"/>
      <c r="AH792" s="150"/>
      <c r="AI792" s="150"/>
      <c r="AJ792" s="150"/>
      <c r="AK792" s="150"/>
      <c r="AL792" s="150"/>
    </row>
    <row r="79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c r="AD793" s="150"/>
      <c r="AE793" s="150"/>
      <c r="AF793" s="150"/>
      <c r="AG793" s="150"/>
      <c r="AH793" s="150"/>
      <c r="AI793" s="150"/>
      <c r="AJ793" s="150"/>
      <c r="AK793" s="150"/>
      <c r="AL793" s="150"/>
    </row>
    <row r="794">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c r="AD794" s="150"/>
      <c r="AE794" s="150"/>
      <c r="AF794" s="150"/>
      <c r="AG794" s="150"/>
      <c r="AH794" s="150"/>
      <c r="AI794" s="150"/>
      <c r="AJ794" s="150"/>
      <c r="AK794" s="150"/>
      <c r="AL794" s="150"/>
    </row>
    <row r="795">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c r="AD795" s="150"/>
      <c r="AE795" s="150"/>
      <c r="AF795" s="150"/>
      <c r="AG795" s="150"/>
      <c r="AH795" s="150"/>
      <c r="AI795" s="150"/>
      <c r="AJ795" s="150"/>
      <c r="AK795" s="150"/>
      <c r="AL795" s="150"/>
    </row>
    <row r="796">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c r="AD796" s="150"/>
      <c r="AE796" s="150"/>
      <c r="AF796" s="150"/>
      <c r="AG796" s="150"/>
      <c r="AH796" s="150"/>
      <c r="AI796" s="150"/>
      <c r="AJ796" s="150"/>
      <c r="AK796" s="150"/>
      <c r="AL796" s="150"/>
    </row>
    <row r="797">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c r="AD797" s="150"/>
      <c r="AE797" s="150"/>
      <c r="AF797" s="150"/>
      <c r="AG797" s="150"/>
      <c r="AH797" s="150"/>
      <c r="AI797" s="150"/>
      <c r="AJ797" s="150"/>
      <c r="AK797" s="150"/>
      <c r="AL797" s="150"/>
    </row>
    <row r="798">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c r="AD798" s="150"/>
      <c r="AE798" s="150"/>
      <c r="AF798" s="150"/>
      <c r="AG798" s="150"/>
      <c r="AH798" s="150"/>
      <c r="AI798" s="150"/>
      <c r="AJ798" s="150"/>
      <c r="AK798" s="150"/>
      <c r="AL798" s="150"/>
    </row>
    <row r="799">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c r="AD799" s="150"/>
      <c r="AE799" s="150"/>
      <c r="AF799" s="150"/>
      <c r="AG799" s="150"/>
      <c r="AH799" s="150"/>
      <c r="AI799" s="150"/>
      <c r="AJ799" s="150"/>
      <c r="AK799" s="150"/>
      <c r="AL799" s="150"/>
    </row>
    <row r="800">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c r="AD800" s="150"/>
      <c r="AE800" s="150"/>
      <c r="AF800" s="150"/>
      <c r="AG800" s="150"/>
      <c r="AH800" s="150"/>
      <c r="AI800" s="150"/>
      <c r="AJ800" s="150"/>
      <c r="AK800" s="150"/>
      <c r="AL800" s="150"/>
    </row>
    <row r="80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c r="AD801" s="150"/>
      <c r="AE801" s="150"/>
      <c r="AF801" s="150"/>
      <c r="AG801" s="150"/>
      <c r="AH801" s="150"/>
      <c r="AI801" s="150"/>
      <c r="AJ801" s="150"/>
      <c r="AK801" s="150"/>
      <c r="AL801" s="150"/>
    </row>
    <row r="802">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c r="AD802" s="150"/>
      <c r="AE802" s="150"/>
      <c r="AF802" s="150"/>
      <c r="AG802" s="150"/>
      <c r="AH802" s="150"/>
      <c r="AI802" s="150"/>
      <c r="AJ802" s="150"/>
      <c r="AK802" s="150"/>
      <c r="AL802" s="150"/>
    </row>
    <row r="8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c r="AD803" s="150"/>
      <c r="AE803" s="150"/>
      <c r="AF803" s="150"/>
      <c r="AG803" s="150"/>
      <c r="AH803" s="150"/>
      <c r="AI803" s="150"/>
      <c r="AJ803" s="150"/>
      <c r="AK803" s="150"/>
      <c r="AL803" s="150"/>
    </row>
    <row r="804">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c r="AD804" s="150"/>
      <c r="AE804" s="150"/>
      <c r="AF804" s="150"/>
      <c r="AG804" s="150"/>
      <c r="AH804" s="150"/>
      <c r="AI804" s="150"/>
      <c r="AJ804" s="150"/>
      <c r="AK804" s="150"/>
      <c r="AL804" s="150"/>
    </row>
    <row r="805">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c r="AD805" s="150"/>
      <c r="AE805" s="150"/>
      <c r="AF805" s="150"/>
      <c r="AG805" s="150"/>
      <c r="AH805" s="150"/>
      <c r="AI805" s="150"/>
      <c r="AJ805" s="150"/>
      <c r="AK805" s="150"/>
      <c r="AL805" s="150"/>
    </row>
    <row r="806">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c r="AD806" s="150"/>
      <c r="AE806" s="150"/>
      <c r="AF806" s="150"/>
      <c r="AG806" s="150"/>
      <c r="AH806" s="150"/>
      <c r="AI806" s="150"/>
      <c r="AJ806" s="150"/>
      <c r="AK806" s="150"/>
      <c r="AL806" s="150"/>
    </row>
    <row r="807">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50"/>
      <c r="AE807" s="150"/>
      <c r="AF807" s="150"/>
      <c r="AG807" s="150"/>
      <c r="AH807" s="150"/>
      <c r="AI807" s="150"/>
      <c r="AJ807" s="150"/>
      <c r="AK807" s="150"/>
      <c r="AL807" s="150"/>
    </row>
    <row r="808">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c r="AD808" s="150"/>
      <c r="AE808" s="150"/>
      <c r="AF808" s="150"/>
      <c r="AG808" s="150"/>
      <c r="AH808" s="150"/>
      <c r="AI808" s="150"/>
      <c r="AJ808" s="150"/>
      <c r="AK808" s="150"/>
      <c r="AL808" s="150"/>
    </row>
    <row r="809">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c r="AD809" s="150"/>
      <c r="AE809" s="150"/>
      <c r="AF809" s="150"/>
      <c r="AG809" s="150"/>
      <c r="AH809" s="150"/>
      <c r="AI809" s="150"/>
      <c r="AJ809" s="150"/>
      <c r="AK809" s="150"/>
      <c r="AL809" s="150"/>
    </row>
    <row r="810">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c r="AD810" s="150"/>
      <c r="AE810" s="150"/>
      <c r="AF810" s="150"/>
      <c r="AG810" s="150"/>
      <c r="AH810" s="150"/>
      <c r="AI810" s="150"/>
      <c r="AJ810" s="150"/>
      <c r="AK810" s="150"/>
      <c r="AL810" s="150"/>
    </row>
    <row r="81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c r="AD811" s="150"/>
      <c r="AE811" s="150"/>
      <c r="AF811" s="150"/>
      <c r="AG811" s="150"/>
      <c r="AH811" s="150"/>
      <c r="AI811" s="150"/>
      <c r="AJ811" s="150"/>
      <c r="AK811" s="150"/>
      <c r="AL811" s="150"/>
    </row>
    <row r="812">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c r="AD812" s="150"/>
      <c r="AE812" s="150"/>
      <c r="AF812" s="150"/>
      <c r="AG812" s="150"/>
      <c r="AH812" s="150"/>
      <c r="AI812" s="150"/>
      <c r="AJ812" s="150"/>
      <c r="AK812" s="150"/>
      <c r="AL812" s="150"/>
    </row>
    <row r="81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c r="AD813" s="150"/>
      <c r="AE813" s="150"/>
      <c r="AF813" s="150"/>
      <c r="AG813" s="150"/>
      <c r="AH813" s="150"/>
      <c r="AI813" s="150"/>
      <c r="AJ813" s="150"/>
      <c r="AK813" s="150"/>
      <c r="AL813" s="150"/>
    </row>
    <row r="814">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c r="AD814" s="150"/>
      <c r="AE814" s="150"/>
      <c r="AF814" s="150"/>
      <c r="AG814" s="150"/>
      <c r="AH814" s="150"/>
      <c r="AI814" s="150"/>
      <c r="AJ814" s="150"/>
      <c r="AK814" s="150"/>
      <c r="AL814" s="150"/>
    </row>
    <row r="815">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c r="AD815" s="150"/>
      <c r="AE815" s="150"/>
      <c r="AF815" s="150"/>
      <c r="AG815" s="150"/>
      <c r="AH815" s="150"/>
      <c r="AI815" s="150"/>
      <c r="AJ815" s="150"/>
      <c r="AK815" s="150"/>
      <c r="AL815" s="150"/>
    </row>
    <row r="816">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c r="AD816" s="150"/>
      <c r="AE816" s="150"/>
      <c r="AF816" s="150"/>
      <c r="AG816" s="150"/>
      <c r="AH816" s="150"/>
      <c r="AI816" s="150"/>
      <c r="AJ816" s="150"/>
      <c r="AK816" s="150"/>
      <c r="AL816" s="150"/>
    </row>
    <row r="817">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c r="AD817" s="150"/>
      <c r="AE817" s="150"/>
      <c r="AF817" s="150"/>
      <c r="AG817" s="150"/>
      <c r="AH817" s="150"/>
      <c r="AI817" s="150"/>
      <c r="AJ817" s="150"/>
      <c r="AK817" s="150"/>
      <c r="AL817" s="150"/>
    </row>
    <row r="818">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c r="AD818" s="150"/>
      <c r="AE818" s="150"/>
      <c r="AF818" s="150"/>
      <c r="AG818" s="150"/>
      <c r="AH818" s="150"/>
      <c r="AI818" s="150"/>
      <c r="AJ818" s="150"/>
      <c r="AK818" s="150"/>
      <c r="AL818" s="150"/>
    </row>
    <row r="819">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c r="AD819" s="150"/>
      <c r="AE819" s="150"/>
      <c r="AF819" s="150"/>
      <c r="AG819" s="150"/>
      <c r="AH819" s="150"/>
      <c r="AI819" s="150"/>
      <c r="AJ819" s="150"/>
      <c r="AK819" s="150"/>
      <c r="AL819" s="150"/>
    </row>
    <row r="820">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c r="AD820" s="150"/>
      <c r="AE820" s="150"/>
      <c r="AF820" s="150"/>
      <c r="AG820" s="150"/>
      <c r="AH820" s="150"/>
      <c r="AI820" s="150"/>
      <c r="AJ820" s="150"/>
      <c r="AK820" s="150"/>
      <c r="AL820" s="150"/>
    </row>
    <row r="82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c r="AD821" s="150"/>
      <c r="AE821" s="150"/>
      <c r="AF821" s="150"/>
      <c r="AG821" s="150"/>
      <c r="AH821" s="150"/>
      <c r="AI821" s="150"/>
      <c r="AJ821" s="150"/>
      <c r="AK821" s="150"/>
      <c r="AL821" s="150"/>
    </row>
    <row r="822">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c r="AD822" s="150"/>
      <c r="AE822" s="150"/>
      <c r="AF822" s="150"/>
      <c r="AG822" s="150"/>
      <c r="AH822" s="150"/>
      <c r="AI822" s="150"/>
      <c r="AJ822" s="150"/>
      <c r="AK822" s="150"/>
      <c r="AL822" s="150"/>
    </row>
    <row r="82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c r="AD823" s="150"/>
      <c r="AE823" s="150"/>
      <c r="AF823" s="150"/>
      <c r="AG823" s="150"/>
      <c r="AH823" s="150"/>
      <c r="AI823" s="150"/>
      <c r="AJ823" s="150"/>
      <c r="AK823" s="150"/>
      <c r="AL823" s="150"/>
    </row>
    <row r="824">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c r="AD824" s="150"/>
      <c r="AE824" s="150"/>
      <c r="AF824" s="150"/>
      <c r="AG824" s="150"/>
      <c r="AH824" s="150"/>
      <c r="AI824" s="150"/>
      <c r="AJ824" s="150"/>
      <c r="AK824" s="150"/>
      <c r="AL824" s="150"/>
    </row>
    <row r="825">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c r="AD825" s="150"/>
      <c r="AE825" s="150"/>
      <c r="AF825" s="150"/>
      <c r="AG825" s="150"/>
      <c r="AH825" s="150"/>
      <c r="AI825" s="150"/>
      <c r="AJ825" s="150"/>
      <c r="AK825" s="150"/>
      <c r="AL825" s="150"/>
    </row>
    <row r="826">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c r="AD826" s="150"/>
      <c r="AE826" s="150"/>
      <c r="AF826" s="150"/>
      <c r="AG826" s="150"/>
      <c r="AH826" s="150"/>
      <c r="AI826" s="150"/>
      <c r="AJ826" s="150"/>
      <c r="AK826" s="150"/>
      <c r="AL826" s="150"/>
    </row>
    <row r="827">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50"/>
      <c r="AE827" s="150"/>
      <c r="AF827" s="150"/>
      <c r="AG827" s="150"/>
      <c r="AH827" s="150"/>
      <c r="AI827" s="150"/>
      <c r="AJ827" s="150"/>
      <c r="AK827" s="150"/>
      <c r="AL827" s="150"/>
    </row>
    <row r="828">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c r="AD828" s="150"/>
      <c r="AE828" s="150"/>
      <c r="AF828" s="150"/>
      <c r="AG828" s="150"/>
      <c r="AH828" s="150"/>
      <c r="AI828" s="150"/>
      <c r="AJ828" s="150"/>
      <c r="AK828" s="150"/>
      <c r="AL828" s="150"/>
    </row>
    <row r="829">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c r="AD829" s="150"/>
      <c r="AE829" s="150"/>
      <c r="AF829" s="150"/>
      <c r="AG829" s="150"/>
      <c r="AH829" s="150"/>
      <c r="AI829" s="150"/>
      <c r="AJ829" s="150"/>
      <c r="AK829" s="150"/>
      <c r="AL829" s="150"/>
    </row>
    <row r="830">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c r="AD830" s="150"/>
      <c r="AE830" s="150"/>
      <c r="AF830" s="150"/>
      <c r="AG830" s="150"/>
      <c r="AH830" s="150"/>
      <c r="AI830" s="150"/>
      <c r="AJ830" s="150"/>
      <c r="AK830" s="150"/>
      <c r="AL830" s="150"/>
    </row>
    <row r="83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c r="AD831" s="150"/>
      <c r="AE831" s="150"/>
      <c r="AF831" s="150"/>
      <c r="AG831" s="150"/>
      <c r="AH831" s="150"/>
      <c r="AI831" s="150"/>
      <c r="AJ831" s="150"/>
      <c r="AK831" s="150"/>
      <c r="AL831" s="150"/>
    </row>
    <row r="832">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c r="AD832" s="150"/>
      <c r="AE832" s="150"/>
      <c r="AF832" s="150"/>
      <c r="AG832" s="150"/>
      <c r="AH832" s="150"/>
      <c r="AI832" s="150"/>
      <c r="AJ832" s="150"/>
      <c r="AK832" s="150"/>
      <c r="AL832" s="150"/>
    </row>
    <row r="83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c r="AD833" s="150"/>
      <c r="AE833" s="150"/>
      <c r="AF833" s="150"/>
      <c r="AG833" s="150"/>
      <c r="AH833" s="150"/>
      <c r="AI833" s="150"/>
      <c r="AJ833" s="150"/>
      <c r="AK833" s="150"/>
      <c r="AL833" s="150"/>
    </row>
    <row r="834">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50"/>
      <c r="AE834" s="150"/>
      <c r="AF834" s="150"/>
      <c r="AG834" s="150"/>
      <c r="AH834" s="150"/>
      <c r="AI834" s="150"/>
      <c r="AJ834" s="150"/>
      <c r="AK834" s="150"/>
      <c r="AL834" s="150"/>
    </row>
    <row r="835">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c r="AD835" s="150"/>
      <c r="AE835" s="150"/>
      <c r="AF835" s="150"/>
      <c r="AG835" s="150"/>
      <c r="AH835" s="150"/>
      <c r="AI835" s="150"/>
      <c r="AJ835" s="150"/>
      <c r="AK835" s="150"/>
      <c r="AL835" s="150"/>
    </row>
    <row r="836">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c r="AD836" s="150"/>
      <c r="AE836" s="150"/>
      <c r="AF836" s="150"/>
      <c r="AG836" s="150"/>
      <c r="AH836" s="150"/>
      <c r="AI836" s="150"/>
      <c r="AJ836" s="150"/>
      <c r="AK836" s="150"/>
      <c r="AL836" s="150"/>
    </row>
    <row r="837">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c r="AD837" s="150"/>
      <c r="AE837" s="150"/>
      <c r="AF837" s="150"/>
      <c r="AG837" s="150"/>
      <c r="AH837" s="150"/>
      <c r="AI837" s="150"/>
      <c r="AJ837" s="150"/>
      <c r="AK837" s="150"/>
      <c r="AL837" s="150"/>
    </row>
    <row r="838">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c r="AD838" s="150"/>
      <c r="AE838" s="150"/>
      <c r="AF838" s="150"/>
      <c r="AG838" s="150"/>
      <c r="AH838" s="150"/>
      <c r="AI838" s="150"/>
      <c r="AJ838" s="150"/>
      <c r="AK838" s="150"/>
      <c r="AL838" s="150"/>
    </row>
    <row r="839">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c r="AD839" s="150"/>
      <c r="AE839" s="150"/>
      <c r="AF839" s="150"/>
      <c r="AG839" s="150"/>
      <c r="AH839" s="150"/>
      <c r="AI839" s="150"/>
      <c r="AJ839" s="150"/>
      <c r="AK839" s="150"/>
      <c r="AL839" s="150"/>
    </row>
    <row r="840">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50"/>
      <c r="AE840" s="150"/>
      <c r="AF840" s="150"/>
      <c r="AG840" s="150"/>
      <c r="AH840" s="150"/>
      <c r="AI840" s="150"/>
      <c r="AJ840" s="150"/>
      <c r="AK840" s="150"/>
      <c r="AL840" s="150"/>
    </row>
    <row r="84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c r="AD841" s="150"/>
      <c r="AE841" s="150"/>
      <c r="AF841" s="150"/>
      <c r="AG841" s="150"/>
      <c r="AH841" s="150"/>
      <c r="AI841" s="150"/>
      <c r="AJ841" s="150"/>
      <c r="AK841" s="150"/>
      <c r="AL841" s="150"/>
    </row>
    <row r="842">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c r="AD842" s="150"/>
      <c r="AE842" s="150"/>
      <c r="AF842" s="150"/>
      <c r="AG842" s="150"/>
      <c r="AH842" s="150"/>
      <c r="AI842" s="150"/>
      <c r="AJ842" s="150"/>
      <c r="AK842" s="150"/>
      <c r="AL842" s="150"/>
    </row>
    <row r="84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c r="AD843" s="150"/>
      <c r="AE843" s="150"/>
      <c r="AF843" s="150"/>
      <c r="AG843" s="150"/>
      <c r="AH843" s="150"/>
      <c r="AI843" s="150"/>
      <c r="AJ843" s="150"/>
      <c r="AK843" s="150"/>
      <c r="AL843" s="150"/>
    </row>
    <row r="844">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c r="AD844" s="150"/>
      <c r="AE844" s="150"/>
      <c r="AF844" s="150"/>
      <c r="AG844" s="150"/>
      <c r="AH844" s="150"/>
      <c r="AI844" s="150"/>
      <c r="AJ844" s="150"/>
      <c r="AK844" s="150"/>
      <c r="AL844" s="150"/>
    </row>
    <row r="845">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c r="AD845" s="150"/>
      <c r="AE845" s="150"/>
      <c r="AF845" s="150"/>
      <c r="AG845" s="150"/>
      <c r="AH845" s="150"/>
      <c r="AI845" s="150"/>
      <c r="AJ845" s="150"/>
      <c r="AK845" s="150"/>
      <c r="AL845" s="150"/>
    </row>
    <row r="846">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c r="AD846" s="150"/>
      <c r="AE846" s="150"/>
      <c r="AF846" s="150"/>
      <c r="AG846" s="150"/>
      <c r="AH846" s="150"/>
      <c r="AI846" s="150"/>
      <c r="AJ846" s="150"/>
      <c r="AK846" s="150"/>
      <c r="AL846" s="150"/>
    </row>
    <row r="847">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c r="AD847" s="150"/>
      <c r="AE847" s="150"/>
      <c r="AF847" s="150"/>
      <c r="AG847" s="150"/>
      <c r="AH847" s="150"/>
      <c r="AI847" s="150"/>
      <c r="AJ847" s="150"/>
      <c r="AK847" s="150"/>
      <c r="AL847" s="150"/>
    </row>
    <row r="848">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c r="AD848" s="150"/>
      <c r="AE848" s="150"/>
      <c r="AF848" s="150"/>
      <c r="AG848" s="150"/>
      <c r="AH848" s="150"/>
      <c r="AI848" s="150"/>
      <c r="AJ848" s="150"/>
      <c r="AK848" s="150"/>
      <c r="AL848" s="150"/>
    </row>
    <row r="849">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c r="AD849" s="150"/>
      <c r="AE849" s="150"/>
      <c r="AF849" s="150"/>
      <c r="AG849" s="150"/>
      <c r="AH849" s="150"/>
      <c r="AI849" s="150"/>
      <c r="AJ849" s="150"/>
      <c r="AK849" s="150"/>
      <c r="AL849" s="150"/>
    </row>
    <row r="850">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c r="AD850" s="150"/>
      <c r="AE850" s="150"/>
      <c r="AF850" s="150"/>
      <c r="AG850" s="150"/>
      <c r="AH850" s="150"/>
      <c r="AI850" s="150"/>
      <c r="AJ850" s="150"/>
      <c r="AK850" s="150"/>
      <c r="AL850" s="150"/>
    </row>
    <row r="85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c r="AD851" s="150"/>
      <c r="AE851" s="150"/>
      <c r="AF851" s="150"/>
      <c r="AG851" s="150"/>
      <c r="AH851" s="150"/>
      <c r="AI851" s="150"/>
      <c r="AJ851" s="150"/>
      <c r="AK851" s="150"/>
      <c r="AL851" s="150"/>
    </row>
    <row r="852">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c r="AD852" s="150"/>
      <c r="AE852" s="150"/>
      <c r="AF852" s="150"/>
      <c r="AG852" s="150"/>
      <c r="AH852" s="150"/>
      <c r="AI852" s="150"/>
      <c r="AJ852" s="150"/>
      <c r="AK852" s="150"/>
      <c r="AL852" s="150"/>
    </row>
    <row r="85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c r="AD853" s="150"/>
      <c r="AE853" s="150"/>
      <c r="AF853" s="150"/>
      <c r="AG853" s="150"/>
      <c r="AH853" s="150"/>
      <c r="AI853" s="150"/>
      <c r="AJ853" s="150"/>
      <c r="AK853" s="150"/>
      <c r="AL853" s="150"/>
    </row>
    <row r="854">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c r="AD854" s="150"/>
      <c r="AE854" s="150"/>
      <c r="AF854" s="150"/>
      <c r="AG854" s="150"/>
      <c r="AH854" s="150"/>
      <c r="AI854" s="150"/>
      <c r="AJ854" s="150"/>
      <c r="AK854" s="150"/>
      <c r="AL854" s="150"/>
    </row>
    <row r="855">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c r="AD855" s="150"/>
      <c r="AE855" s="150"/>
      <c r="AF855" s="150"/>
      <c r="AG855" s="150"/>
      <c r="AH855" s="150"/>
      <c r="AI855" s="150"/>
      <c r="AJ855" s="150"/>
      <c r="AK855" s="150"/>
      <c r="AL855" s="150"/>
    </row>
    <row r="856">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c r="AD856" s="150"/>
      <c r="AE856" s="150"/>
      <c r="AF856" s="150"/>
      <c r="AG856" s="150"/>
      <c r="AH856" s="150"/>
      <c r="AI856" s="150"/>
      <c r="AJ856" s="150"/>
      <c r="AK856" s="150"/>
      <c r="AL856" s="150"/>
    </row>
    <row r="857">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c r="AD857" s="150"/>
      <c r="AE857" s="150"/>
      <c r="AF857" s="150"/>
      <c r="AG857" s="150"/>
      <c r="AH857" s="150"/>
      <c r="AI857" s="150"/>
      <c r="AJ857" s="150"/>
      <c r="AK857" s="150"/>
      <c r="AL857" s="150"/>
    </row>
    <row r="858">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c r="AD858" s="150"/>
      <c r="AE858" s="150"/>
      <c r="AF858" s="150"/>
      <c r="AG858" s="150"/>
      <c r="AH858" s="150"/>
      <c r="AI858" s="150"/>
      <c r="AJ858" s="150"/>
      <c r="AK858" s="150"/>
      <c r="AL858" s="150"/>
    </row>
    <row r="859">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c r="AD859" s="150"/>
      <c r="AE859" s="150"/>
      <c r="AF859" s="150"/>
      <c r="AG859" s="150"/>
      <c r="AH859" s="150"/>
      <c r="AI859" s="150"/>
      <c r="AJ859" s="150"/>
      <c r="AK859" s="150"/>
      <c r="AL859" s="150"/>
    </row>
    <row r="860">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c r="AD860" s="150"/>
      <c r="AE860" s="150"/>
      <c r="AF860" s="150"/>
      <c r="AG860" s="150"/>
      <c r="AH860" s="150"/>
      <c r="AI860" s="150"/>
      <c r="AJ860" s="150"/>
      <c r="AK860" s="150"/>
      <c r="AL860" s="150"/>
    </row>
    <row r="86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c r="AD861" s="150"/>
      <c r="AE861" s="150"/>
      <c r="AF861" s="150"/>
      <c r="AG861" s="150"/>
      <c r="AH861" s="150"/>
      <c r="AI861" s="150"/>
      <c r="AJ861" s="150"/>
      <c r="AK861" s="150"/>
      <c r="AL861" s="150"/>
    </row>
    <row r="862">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c r="AD862" s="150"/>
      <c r="AE862" s="150"/>
      <c r="AF862" s="150"/>
      <c r="AG862" s="150"/>
      <c r="AH862" s="150"/>
      <c r="AI862" s="150"/>
      <c r="AJ862" s="150"/>
      <c r="AK862" s="150"/>
      <c r="AL862" s="150"/>
    </row>
    <row r="86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c r="AD863" s="150"/>
      <c r="AE863" s="150"/>
      <c r="AF863" s="150"/>
      <c r="AG863" s="150"/>
      <c r="AH863" s="150"/>
      <c r="AI863" s="150"/>
      <c r="AJ863" s="150"/>
      <c r="AK863" s="150"/>
      <c r="AL863" s="150"/>
    </row>
    <row r="864">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50"/>
      <c r="AE864" s="150"/>
      <c r="AF864" s="150"/>
      <c r="AG864" s="150"/>
      <c r="AH864" s="150"/>
      <c r="AI864" s="150"/>
      <c r="AJ864" s="150"/>
      <c r="AK864" s="150"/>
      <c r="AL864" s="150"/>
    </row>
    <row r="865">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c r="AD865" s="150"/>
      <c r="AE865" s="150"/>
      <c r="AF865" s="150"/>
      <c r="AG865" s="150"/>
      <c r="AH865" s="150"/>
      <c r="AI865" s="150"/>
      <c r="AJ865" s="150"/>
      <c r="AK865" s="150"/>
      <c r="AL865" s="150"/>
    </row>
    <row r="866">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c r="AD866" s="150"/>
      <c r="AE866" s="150"/>
      <c r="AF866" s="150"/>
      <c r="AG866" s="150"/>
      <c r="AH866" s="150"/>
      <c r="AI866" s="150"/>
      <c r="AJ866" s="150"/>
      <c r="AK866" s="150"/>
      <c r="AL866" s="150"/>
    </row>
    <row r="867">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c r="AD867" s="150"/>
      <c r="AE867" s="150"/>
      <c r="AF867" s="150"/>
      <c r="AG867" s="150"/>
      <c r="AH867" s="150"/>
      <c r="AI867" s="150"/>
      <c r="AJ867" s="150"/>
      <c r="AK867" s="150"/>
      <c r="AL867" s="150"/>
    </row>
    <row r="868">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c r="AD868" s="150"/>
      <c r="AE868" s="150"/>
      <c r="AF868" s="150"/>
      <c r="AG868" s="150"/>
      <c r="AH868" s="150"/>
      <c r="AI868" s="150"/>
      <c r="AJ868" s="150"/>
      <c r="AK868" s="150"/>
      <c r="AL868" s="150"/>
    </row>
    <row r="869">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50"/>
      <c r="AE869" s="150"/>
      <c r="AF869" s="150"/>
      <c r="AG869" s="150"/>
      <c r="AH869" s="150"/>
      <c r="AI869" s="150"/>
      <c r="AJ869" s="150"/>
      <c r="AK869" s="150"/>
      <c r="AL869" s="150"/>
    </row>
    <row r="870">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c r="AD870" s="150"/>
      <c r="AE870" s="150"/>
      <c r="AF870" s="150"/>
      <c r="AG870" s="150"/>
      <c r="AH870" s="150"/>
      <c r="AI870" s="150"/>
      <c r="AJ870" s="150"/>
      <c r="AK870" s="150"/>
      <c r="AL870" s="150"/>
    </row>
    <row r="87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c r="AD871" s="150"/>
      <c r="AE871" s="150"/>
      <c r="AF871" s="150"/>
      <c r="AG871" s="150"/>
      <c r="AH871" s="150"/>
      <c r="AI871" s="150"/>
      <c r="AJ871" s="150"/>
      <c r="AK871" s="150"/>
      <c r="AL871" s="150"/>
    </row>
    <row r="872">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c r="AD872" s="150"/>
      <c r="AE872" s="150"/>
      <c r="AF872" s="150"/>
      <c r="AG872" s="150"/>
      <c r="AH872" s="150"/>
      <c r="AI872" s="150"/>
      <c r="AJ872" s="150"/>
      <c r="AK872" s="150"/>
      <c r="AL872" s="150"/>
    </row>
    <row r="87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c r="AD873" s="150"/>
      <c r="AE873" s="150"/>
      <c r="AF873" s="150"/>
      <c r="AG873" s="150"/>
      <c r="AH873" s="150"/>
      <c r="AI873" s="150"/>
      <c r="AJ873" s="150"/>
      <c r="AK873" s="150"/>
      <c r="AL873" s="150"/>
    </row>
    <row r="874">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c r="AD874" s="150"/>
      <c r="AE874" s="150"/>
      <c r="AF874" s="150"/>
      <c r="AG874" s="150"/>
      <c r="AH874" s="150"/>
      <c r="AI874" s="150"/>
      <c r="AJ874" s="150"/>
      <c r="AK874" s="150"/>
      <c r="AL874" s="150"/>
    </row>
    <row r="875">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50"/>
      <c r="AE875" s="150"/>
      <c r="AF875" s="150"/>
      <c r="AG875" s="150"/>
      <c r="AH875" s="150"/>
      <c r="AI875" s="150"/>
      <c r="AJ875" s="150"/>
      <c r="AK875" s="150"/>
      <c r="AL875" s="150"/>
    </row>
    <row r="876">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c r="AD876" s="150"/>
      <c r="AE876" s="150"/>
      <c r="AF876" s="150"/>
      <c r="AG876" s="150"/>
      <c r="AH876" s="150"/>
      <c r="AI876" s="150"/>
      <c r="AJ876" s="150"/>
      <c r="AK876" s="150"/>
      <c r="AL876" s="150"/>
    </row>
    <row r="877">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c r="AD877" s="150"/>
      <c r="AE877" s="150"/>
      <c r="AF877" s="150"/>
      <c r="AG877" s="150"/>
      <c r="AH877" s="150"/>
      <c r="AI877" s="150"/>
      <c r="AJ877" s="150"/>
      <c r="AK877" s="150"/>
      <c r="AL877" s="150"/>
    </row>
    <row r="878">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c r="AD878" s="150"/>
      <c r="AE878" s="150"/>
      <c r="AF878" s="150"/>
      <c r="AG878" s="150"/>
      <c r="AH878" s="150"/>
      <c r="AI878" s="150"/>
      <c r="AJ878" s="150"/>
      <c r="AK878" s="150"/>
      <c r="AL878" s="150"/>
    </row>
    <row r="879">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c r="AD879" s="150"/>
      <c r="AE879" s="150"/>
      <c r="AF879" s="150"/>
      <c r="AG879" s="150"/>
      <c r="AH879" s="150"/>
      <c r="AI879" s="150"/>
      <c r="AJ879" s="150"/>
      <c r="AK879" s="150"/>
      <c r="AL879" s="150"/>
    </row>
    <row r="880">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c r="AD880" s="150"/>
      <c r="AE880" s="150"/>
      <c r="AF880" s="150"/>
      <c r="AG880" s="150"/>
      <c r="AH880" s="150"/>
      <c r="AI880" s="150"/>
      <c r="AJ880" s="150"/>
      <c r="AK880" s="150"/>
      <c r="AL880" s="150"/>
    </row>
    <row r="88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50"/>
      <c r="AE881" s="150"/>
      <c r="AF881" s="150"/>
      <c r="AG881" s="150"/>
      <c r="AH881" s="150"/>
      <c r="AI881" s="150"/>
      <c r="AJ881" s="150"/>
      <c r="AK881" s="150"/>
      <c r="AL881" s="150"/>
    </row>
    <row r="882">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c r="AD882" s="150"/>
      <c r="AE882" s="150"/>
      <c r="AF882" s="150"/>
      <c r="AG882" s="150"/>
      <c r="AH882" s="150"/>
      <c r="AI882" s="150"/>
      <c r="AJ882" s="150"/>
      <c r="AK882" s="150"/>
      <c r="AL882" s="150"/>
    </row>
    <row r="88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c r="AD883" s="150"/>
      <c r="AE883" s="150"/>
      <c r="AF883" s="150"/>
      <c r="AG883" s="150"/>
      <c r="AH883" s="150"/>
      <c r="AI883" s="150"/>
      <c r="AJ883" s="150"/>
      <c r="AK883" s="150"/>
      <c r="AL883" s="150"/>
    </row>
    <row r="884">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c r="AD884" s="150"/>
      <c r="AE884" s="150"/>
      <c r="AF884" s="150"/>
      <c r="AG884" s="150"/>
      <c r="AH884" s="150"/>
      <c r="AI884" s="150"/>
      <c r="AJ884" s="150"/>
      <c r="AK884" s="150"/>
      <c r="AL884" s="150"/>
    </row>
    <row r="885">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c r="AD885" s="150"/>
      <c r="AE885" s="150"/>
      <c r="AF885" s="150"/>
      <c r="AG885" s="150"/>
      <c r="AH885" s="150"/>
      <c r="AI885" s="150"/>
      <c r="AJ885" s="150"/>
      <c r="AK885" s="150"/>
      <c r="AL885" s="150"/>
    </row>
    <row r="886">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c r="AD886" s="150"/>
      <c r="AE886" s="150"/>
      <c r="AF886" s="150"/>
      <c r="AG886" s="150"/>
      <c r="AH886" s="150"/>
      <c r="AI886" s="150"/>
      <c r="AJ886" s="150"/>
      <c r="AK886" s="150"/>
      <c r="AL886" s="150"/>
    </row>
    <row r="887">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c r="AD887" s="150"/>
      <c r="AE887" s="150"/>
      <c r="AF887" s="150"/>
      <c r="AG887" s="150"/>
      <c r="AH887" s="150"/>
      <c r="AI887" s="150"/>
      <c r="AJ887" s="150"/>
      <c r="AK887" s="150"/>
      <c r="AL887" s="150"/>
    </row>
    <row r="888">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50"/>
      <c r="AE888" s="150"/>
      <c r="AF888" s="150"/>
      <c r="AG888" s="150"/>
      <c r="AH888" s="150"/>
      <c r="AI888" s="150"/>
      <c r="AJ888" s="150"/>
      <c r="AK888" s="150"/>
      <c r="AL888" s="150"/>
    </row>
    <row r="889">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c r="AD889" s="150"/>
      <c r="AE889" s="150"/>
      <c r="AF889" s="150"/>
      <c r="AG889" s="150"/>
      <c r="AH889" s="150"/>
      <c r="AI889" s="150"/>
      <c r="AJ889" s="150"/>
      <c r="AK889" s="150"/>
      <c r="AL889" s="150"/>
    </row>
    <row r="890">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c r="AD890" s="150"/>
      <c r="AE890" s="150"/>
      <c r="AF890" s="150"/>
      <c r="AG890" s="150"/>
      <c r="AH890" s="150"/>
      <c r="AI890" s="150"/>
      <c r="AJ890" s="150"/>
      <c r="AK890" s="150"/>
      <c r="AL890" s="150"/>
    </row>
    <row r="89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c r="AD891" s="150"/>
      <c r="AE891" s="150"/>
      <c r="AF891" s="150"/>
      <c r="AG891" s="150"/>
      <c r="AH891" s="150"/>
      <c r="AI891" s="150"/>
      <c r="AJ891" s="150"/>
      <c r="AK891" s="150"/>
      <c r="AL891" s="150"/>
    </row>
    <row r="892">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50"/>
      <c r="AE892" s="150"/>
      <c r="AF892" s="150"/>
      <c r="AG892" s="150"/>
      <c r="AH892" s="150"/>
      <c r="AI892" s="150"/>
      <c r="AJ892" s="150"/>
      <c r="AK892" s="150"/>
      <c r="AL892" s="150"/>
    </row>
    <row r="89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50"/>
      <c r="AE893" s="150"/>
      <c r="AF893" s="150"/>
      <c r="AG893" s="150"/>
      <c r="AH893" s="150"/>
      <c r="AI893" s="150"/>
      <c r="AJ893" s="150"/>
      <c r="AK893" s="150"/>
      <c r="AL893" s="150"/>
    </row>
    <row r="894">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50"/>
      <c r="AE894" s="150"/>
      <c r="AF894" s="150"/>
      <c r="AG894" s="150"/>
      <c r="AH894" s="150"/>
      <c r="AI894" s="150"/>
      <c r="AJ894" s="150"/>
      <c r="AK894" s="150"/>
      <c r="AL894" s="150"/>
    </row>
    <row r="895">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c r="AD895" s="150"/>
      <c r="AE895" s="150"/>
      <c r="AF895" s="150"/>
      <c r="AG895" s="150"/>
      <c r="AH895" s="150"/>
      <c r="AI895" s="150"/>
      <c r="AJ895" s="150"/>
      <c r="AK895" s="150"/>
      <c r="AL895" s="150"/>
    </row>
    <row r="896">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c r="AD896" s="150"/>
      <c r="AE896" s="150"/>
      <c r="AF896" s="150"/>
      <c r="AG896" s="150"/>
      <c r="AH896" s="150"/>
      <c r="AI896" s="150"/>
      <c r="AJ896" s="150"/>
      <c r="AK896" s="150"/>
      <c r="AL896" s="150"/>
    </row>
    <row r="897">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c r="AD897" s="150"/>
      <c r="AE897" s="150"/>
      <c r="AF897" s="150"/>
      <c r="AG897" s="150"/>
      <c r="AH897" s="150"/>
      <c r="AI897" s="150"/>
      <c r="AJ897" s="150"/>
      <c r="AK897" s="150"/>
      <c r="AL897" s="150"/>
    </row>
    <row r="898">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c r="AD898" s="150"/>
      <c r="AE898" s="150"/>
      <c r="AF898" s="150"/>
      <c r="AG898" s="150"/>
      <c r="AH898" s="150"/>
      <c r="AI898" s="150"/>
      <c r="AJ898" s="150"/>
      <c r="AK898" s="150"/>
      <c r="AL898" s="150"/>
    </row>
    <row r="899">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50"/>
      <c r="AE899" s="150"/>
      <c r="AF899" s="150"/>
      <c r="AG899" s="150"/>
      <c r="AH899" s="150"/>
      <c r="AI899" s="150"/>
      <c r="AJ899" s="150"/>
      <c r="AK899" s="150"/>
      <c r="AL899" s="150"/>
    </row>
    <row r="900">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c r="AD900" s="150"/>
      <c r="AE900" s="150"/>
      <c r="AF900" s="150"/>
      <c r="AG900" s="150"/>
      <c r="AH900" s="150"/>
      <c r="AI900" s="150"/>
      <c r="AJ900" s="150"/>
      <c r="AK900" s="150"/>
      <c r="AL900" s="150"/>
    </row>
    <row r="90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c r="AD901" s="150"/>
      <c r="AE901" s="150"/>
      <c r="AF901" s="150"/>
      <c r="AG901" s="150"/>
      <c r="AH901" s="150"/>
      <c r="AI901" s="150"/>
      <c r="AJ901" s="150"/>
      <c r="AK901" s="150"/>
      <c r="AL901" s="150"/>
    </row>
    <row r="902">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c r="AD902" s="150"/>
      <c r="AE902" s="150"/>
      <c r="AF902" s="150"/>
      <c r="AG902" s="150"/>
      <c r="AH902" s="150"/>
      <c r="AI902" s="150"/>
      <c r="AJ902" s="150"/>
      <c r="AK902" s="150"/>
      <c r="AL902" s="150"/>
    </row>
    <row r="9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c r="AD903" s="150"/>
      <c r="AE903" s="150"/>
      <c r="AF903" s="150"/>
      <c r="AG903" s="150"/>
      <c r="AH903" s="150"/>
      <c r="AI903" s="150"/>
      <c r="AJ903" s="150"/>
      <c r="AK903" s="150"/>
      <c r="AL903" s="150"/>
    </row>
    <row r="904">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c r="AD904" s="150"/>
      <c r="AE904" s="150"/>
      <c r="AF904" s="150"/>
      <c r="AG904" s="150"/>
      <c r="AH904" s="150"/>
      <c r="AI904" s="150"/>
      <c r="AJ904" s="150"/>
      <c r="AK904" s="150"/>
      <c r="AL904" s="150"/>
    </row>
    <row r="905">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c r="AD905" s="150"/>
      <c r="AE905" s="150"/>
      <c r="AF905" s="150"/>
      <c r="AG905" s="150"/>
      <c r="AH905" s="150"/>
      <c r="AI905" s="150"/>
      <c r="AJ905" s="150"/>
      <c r="AK905" s="150"/>
      <c r="AL905" s="150"/>
    </row>
    <row r="906">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50"/>
      <c r="AE906" s="150"/>
      <c r="AF906" s="150"/>
      <c r="AG906" s="150"/>
      <c r="AH906" s="150"/>
      <c r="AI906" s="150"/>
      <c r="AJ906" s="150"/>
      <c r="AK906" s="150"/>
      <c r="AL906" s="150"/>
    </row>
    <row r="907">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c r="AD907" s="150"/>
      <c r="AE907" s="150"/>
      <c r="AF907" s="150"/>
      <c r="AG907" s="150"/>
      <c r="AH907" s="150"/>
      <c r="AI907" s="150"/>
      <c r="AJ907" s="150"/>
      <c r="AK907" s="150"/>
      <c r="AL907" s="150"/>
    </row>
    <row r="908">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c r="AD908" s="150"/>
      <c r="AE908" s="150"/>
      <c r="AF908" s="150"/>
      <c r="AG908" s="150"/>
      <c r="AH908" s="150"/>
      <c r="AI908" s="150"/>
      <c r="AJ908" s="150"/>
      <c r="AK908" s="150"/>
      <c r="AL908" s="150"/>
    </row>
    <row r="909">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c r="AD909" s="150"/>
      <c r="AE909" s="150"/>
      <c r="AF909" s="150"/>
      <c r="AG909" s="150"/>
      <c r="AH909" s="150"/>
      <c r="AI909" s="150"/>
      <c r="AJ909" s="150"/>
      <c r="AK909" s="150"/>
      <c r="AL909" s="150"/>
    </row>
    <row r="910">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c r="AD910" s="150"/>
      <c r="AE910" s="150"/>
      <c r="AF910" s="150"/>
      <c r="AG910" s="150"/>
      <c r="AH910" s="150"/>
      <c r="AI910" s="150"/>
      <c r="AJ910" s="150"/>
      <c r="AK910" s="150"/>
      <c r="AL910" s="150"/>
    </row>
    <row r="91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50"/>
      <c r="AE911" s="150"/>
      <c r="AF911" s="150"/>
      <c r="AG911" s="150"/>
      <c r="AH911" s="150"/>
      <c r="AI911" s="150"/>
      <c r="AJ911" s="150"/>
      <c r="AK911" s="150"/>
      <c r="AL911" s="150"/>
    </row>
    <row r="912">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50"/>
      <c r="AE912" s="150"/>
      <c r="AF912" s="150"/>
      <c r="AG912" s="150"/>
      <c r="AH912" s="150"/>
      <c r="AI912" s="150"/>
      <c r="AJ912" s="150"/>
      <c r="AK912" s="150"/>
      <c r="AL912" s="150"/>
    </row>
    <row r="91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c r="AD913" s="150"/>
      <c r="AE913" s="150"/>
      <c r="AF913" s="150"/>
      <c r="AG913" s="150"/>
      <c r="AH913" s="150"/>
      <c r="AI913" s="150"/>
      <c r="AJ913" s="150"/>
      <c r="AK913" s="150"/>
      <c r="AL913" s="150"/>
    </row>
    <row r="914">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c r="AD914" s="150"/>
      <c r="AE914" s="150"/>
      <c r="AF914" s="150"/>
      <c r="AG914" s="150"/>
      <c r="AH914" s="150"/>
      <c r="AI914" s="150"/>
      <c r="AJ914" s="150"/>
      <c r="AK914" s="150"/>
      <c r="AL914" s="150"/>
    </row>
    <row r="915">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c r="AD915" s="150"/>
      <c r="AE915" s="150"/>
      <c r="AF915" s="150"/>
      <c r="AG915" s="150"/>
      <c r="AH915" s="150"/>
      <c r="AI915" s="150"/>
      <c r="AJ915" s="150"/>
      <c r="AK915" s="150"/>
      <c r="AL915" s="150"/>
    </row>
    <row r="916">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c r="AD916" s="150"/>
      <c r="AE916" s="150"/>
      <c r="AF916" s="150"/>
      <c r="AG916" s="150"/>
      <c r="AH916" s="150"/>
      <c r="AI916" s="150"/>
      <c r="AJ916" s="150"/>
      <c r="AK916" s="150"/>
      <c r="AL916" s="150"/>
    </row>
    <row r="917">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c r="AD917" s="150"/>
      <c r="AE917" s="150"/>
      <c r="AF917" s="150"/>
      <c r="AG917" s="150"/>
      <c r="AH917" s="150"/>
      <c r="AI917" s="150"/>
      <c r="AJ917" s="150"/>
      <c r="AK917" s="150"/>
      <c r="AL917" s="150"/>
    </row>
    <row r="918">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50"/>
      <c r="AE918" s="150"/>
      <c r="AF918" s="150"/>
      <c r="AG918" s="150"/>
      <c r="AH918" s="150"/>
      <c r="AI918" s="150"/>
      <c r="AJ918" s="150"/>
      <c r="AK918" s="150"/>
      <c r="AL918" s="150"/>
    </row>
    <row r="919">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c r="AD919" s="150"/>
      <c r="AE919" s="150"/>
      <c r="AF919" s="150"/>
      <c r="AG919" s="150"/>
      <c r="AH919" s="150"/>
      <c r="AI919" s="150"/>
      <c r="AJ919" s="150"/>
      <c r="AK919" s="150"/>
      <c r="AL919" s="150"/>
    </row>
    <row r="920">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c r="AD920" s="150"/>
      <c r="AE920" s="150"/>
      <c r="AF920" s="150"/>
      <c r="AG920" s="150"/>
      <c r="AH920" s="150"/>
      <c r="AI920" s="150"/>
      <c r="AJ920" s="150"/>
      <c r="AK920" s="150"/>
      <c r="AL920" s="150"/>
    </row>
    <row r="92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c r="AD921" s="150"/>
      <c r="AE921" s="150"/>
      <c r="AF921" s="150"/>
      <c r="AG921" s="150"/>
      <c r="AH921" s="150"/>
      <c r="AI921" s="150"/>
      <c r="AJ921" s="150"/>
      <c r="AK921" s="150"/>
      <c r="AL921" s="150"/>
    </row>
    <row r="922">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c r="AD922" s="150"/>
      <c r="AE922" s="150"/>
      <c r="AF922" s="150"/>
      <c r="AG922" s="150"/>
      <c r="AH922" s="150"/>
      <c r="AI922" s="150"/>
      <c r="AJ922" s="150"/>
      <c r="AK922" s="150"/>
      <c r="AL922" s="150"/>
    </row>
    <row r="92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50"/>
      <c r="AE923" s="150"/>
      <c r="AF923" s="150"/>
      <c r="AG923" s="150"/>
      <c r="AH923" s="150"/>
      <c r="AI923" s="150"/>
      <c r="AJ923" s="150"/>
      <c r="AK923" s="150"/>
      <c r="AL923" s="150"/>
    </row>
    <row r="924">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c r="AD924" s="150"/>
      <c r="AE924" s="150"/>
      <c r="AF924" s="150"/>
      <c r="AG924" s="150"/>
      <c r="AH924" s="150"/>
      <c r="AI924" s="150"/>
      <c r="AJ924" s="150"/>
      <c r="AK924" s="150"/>
      <c r="AL924" s="150"/>
    </row>
    <row r="925">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c r="AD925" s="150"/>
      <c r="AE925" s="150"/>
      <c r="AF925" s="150"/>
      <c r="AG925" s="150"/>
      <c r="AH925" s="150"/>
      <c r="AI925" s="150"/>
      <c r="AJ925" s="150"/>
      <c r="AK925" s="150"/>
      <c r="AL925" s="150"/>
    </row>
    <row r="926">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c r="AD926" s="150"/>
      <c r="AE926" s="150"/>
      <c r="AF926" s="150"/>
      <c r="AG926" s="150"/>
      <c r="AH926" s="150"/>
      <c r="AI926" s="150"/>
      <c r="AJ926" s="150"/>
      <c r="AK926" s="150"/>
      <c r="AL926" s="150"/>
    </row>
    <row r="927">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c r="AD927" s="150"/>
      <c r="AE927" s="150"/>
      <c r="AF927" s="150"/>
      <c r="AG927" s="150"/>
      <c r="AH927" s="150"/>
      <c r="AI927" s="150"/>
      <c r="AJ927" s="150"/>
      <c r="AK927" s="150"/>
      <c r="AL927" s="150"/>
    </row>
    <row r="928">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50"/>
      <c r="AE928" s="150"/>
      <c r="AF928" s="150"/>
      <c r="AG928" s="150"/>
      <c r="AH928" s="150"/>
      <c r="AI928" s="150"/>
      <c r="AJ928" s="150"/>
      <c r="AK928" s="150"/>
      <c r="AL928" s="150"/>
    </row>
    <row r="929">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c r="AD929" s="150"/>
      <c r="AE929" s="150"/>
      <c r="AF929" s="150"/>
      <c r="AG929" s="150"/>
      <c r="AH929" s="150"/>
      <c r="AI929" s="150"/>
      <c r="AJ929" s="150"/>
      <c r="AK929" s="150"/>
      <c r="AL929" s="150"/>
    </row>
    <row r="930">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c r="AD930" s="150"/>
      <c r="AE930" s="150"/>
      <c r="AF930" s="150"/>
      <c r="AG930" s="150"/>
      <c r="AH930" s="150"/>
      <c r="AI930" s="150"/>
      <c r="AJ930" s="150"/>
      <c r="AK930" s="150"/>
      <c r="AL930" s="150"/>
    </row>
    <row r="93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c r="AD931" s="150"/>
      <c r="AE931" s="150"/>
      <c r="AF931" s="150"/>
      <c r="AG931" s="150"/>
      <c r="AH931" s="150"/>
      <c r="AI931" s="150"/>
      <c r="AJ931" s="150"/>
      <c r="AK931" s="150"/>
      <c r="AL931" s="150"/>
    </row>
    <row r="932">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c r="AD932" s="150"/>
      <c r="AE932" s="150"/>
      <c r="AF932" s="150"/>
      <c r="AG932" s="150"/>
      <c r="AH932" s="150"/>
      <c r="AI932" s="150"/>
      <c r="AJ932" s="150"/>
      <c r="AK932" s="150"/>
      <c r="AL932" s="150"/>
    </row>
    <row r="93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c r="AD933" s="150"/>
      <c r="AE933" s="150"/>
      <c r="AF933" s="150"/>
      <c r="AG933" s="150"/>
      <c r="AH933" s="150"/>
      <c r="AI933" s="150"/>
      <c r="AJ933" s="150"/>
      <c r="AK933" s="150"/>
      <c r="AL933" s="150"/>
    </row>
    <row r="934">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c r="AD934" s="150"/>
      <c r="AE934" s="150"/>
      <c r="AF934" s="150"/>
      <c r="AG934" s="150"/>
      <c r="AH934" s="150"/>
      <c r="AI934" s="150"/>
      <c r="AJ934" s="150"/>
      <c r="AK934" s="150"/>
      <c r="AL934" s="150"/>
    </row>
    <row r="935">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c r="AD935" s="150"/>
      <c r="AE935" s="150"/>
      <c r="AF935" s="150"/>
      <c r="AG935" s="150"/>
      <c r="AH935" s="150"/>
      <c r="AI935" s="150"/>
      <c r="AJ935" s="150"/>
      <c r="AK935" s="150"/>
      <c r="AL935" s="150"/>
    </row>
    <row r="936">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c r="AD936" s="150"/>
      <c r="AE936" s="150"/>
      <c r="AF936" s="150"/>
      <c r="AG936" s="150"/>
      <c r="AH936" s="150"/>
      <c r="AI936" s="150"/>
      <c r="AJ936" s="150"/>
      <c r="AK936" s="150"/>
      <c r="AL936" s="150"/>
    </row>
    <row r="937">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c r="AD937" s="150"/>
      <c r="AE937" s="150"/>
      <c r="AF937" s="150"/>
      <c r="AG937" s="150"/>
      <c r="AH937" s="150"/>
      <c r="AI937" s="150"/>
      <c r="AJ937" s="150"/>
      <c r="AK937" s="150"/>
      <c r="AL937" s="150"/>
    </row>
    <row r="938">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50"/>
      <c r="AE938" s="150"/>
      <c r="AF938" s="150"/>
      <c r="AG938" s="150"/>
      <c r="AH938" s="150"/>
      <c r="AI938" s="150"/>
      <c r="AJ938" s="150"/>
      <c r="AK938" s="150"/>
      <c r="AL938" s="150"/>
    </row>
    <row r="939">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c r="AD939" s="150"/>
      <c r="AE939" s="150"/>
      <c r="AF939" s="150"/>
      <c r="AG939" s="150"/>
      <c r="AH939" s="150"/>
      <c r="AI939" s="150"/>
      <c r="AJ939" s="150"/>
      <c r="AK939" s="150"/>
      <c r="AL939" s="150"/>
    </row>
    <row r="940">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c r="AD940" s="150"/>
      <c r="AE940" s="150"/>
      <c r="AF940" s="150"/>
      <c r="AG940" s="150"/>
      <c r="AH940" s="150"/>
      <c r="AI940" s="150"/>
      <c r="AJ940" s="150"/>
      <c r="AK940" s="150"/>
      <c r="AL940" s="150"/>
    </row>
    <row r="94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c r="AD941" s="150"/>
      <c r="AE941" s="150"/>
      <c r="AF941" s="150"/>
      <c r="AG941" s="150"/>
      <c r="AH941" s="150"/>
      <c r="AI941" s="150"/>
      <c r="AJ941" s="150"/>
      <c r="AK941" s="150"/>
      <c r="AL941" s="150"/>
    </row>
    <row r="942">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c r="AD942" s="150"/>
      <c r="AE942" s="150"/>
      <c r="AF942" s="150"/>
      <c r="AG942" s="150"/>
      <c r="AH942" s="150"/>
      <c r="AI942" s="150"/>
      <c r="AJ942" s="150"/>
      <c r="AK942" s="150"/>
      <c r="AL942" s="150"/>
    </row>
    <row r="94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c r="AD943" s="150"/>
      <c r="AE943" s="150"/>
      <c r="AF943" s="150"/>
      <c r="AG943" s="150"/>
      <c r="AH943" s="150"/>
      <c r="AI943" s="150"/>
      <c r="AJ943" s="150"/>
      <c r="AK943" s="150"/>
      <c r="AL943" s="150"/>
    </row>
    <row r="944">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50"/>
      <c r="AE944" s="150"/>
      <c r="AF944" s="150"/>
      <c r="AG944" s="150"/>
      <c r="AH944" s="150"/>
      <c r="AI944" s="150"/>
      <c r="AJ944" s="150"/>
      <c r="AK944" s="150"/>
      <c r="AL944" s="150"/>
    </row>
    <row r="945">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c r="AD945" s="150"/>
      <c r="AE945" s="150"/>
      <c r="AF945" s="150"/>
      <c r="AG945" s="150"/>
      <c r="AH945" s="150"/>
      <c r="AI945" s="150"/>
      <c r="AJ945" s="150"/>
      <c r="AK945" s="150"/>
      <c r="AL945" s="150"/>
    </row>
    <row r="946">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c r="AD946" s="150"/>
      <c r="AE946" s="150"/>
      <c r="AF946" s="150"/>
      <c r="AG946" s="150"/>
      <c r="AH946" s="150"/>
      <c r="AI946" s="150"/>
      <c r="AJ946" s="150"/>
      <c r="AK946" s="150"/>
      <c r="AL946" s="150"/>
    </row>
    <row r="947">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c r="AD947" s="150"/>
      <c r="AE947" s="150"/>
      <c r="AF947" s="150"/>
      <c r="AG947" s="150"/>
      <c r="AH947" s="150"/>
      <c r="AI947" s="150"/>
      <c r="AJ947" s="150"/>
      <c r="AK947" s="150"/>
      <c r="AL947" s="150"/>
    </row>
    <row r="948">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c r="AD948" s="150"/>
      <c r="AE948" s="150"/>
      <c r="AF948" s="150"/>
      <c r="AG948" s="150"/>
      <c r="AH948" s="150"/>
      <c r="AI948" s="150"/>
      <c r="AJ948" s="150"/>
      <c r="AK948" s="150"/>
      <c r="AL948" s="150"/>
    </row>
    <row r="949">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c r="AD949" s="150"/>
      <c r="AE949" s="150"/>
      <c r="AF949" s="150"/>
      <c r="AG949" s="150"/>
      <c r="AH949" s="150"/>
      <c r="AI949" s="150"/>
      <c r="AJ949" s="150"/>
      <c r="AK949" s="150"/>
      <c r="AL949" s="150"/>
    </row>
    <row r="950">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c r="AD950" s="150"/>
      <c r="AE950" s="150"/>
      <c r="AF950" s="150"/>
      <c r="AG950" s="150"/>
      <c r="AH950" s="150"/>
      <c r="AI950" s="150"/>
      <c r="AJ950" s="150"/>
      <c r="AK950" s="150"/>
      <c r="AL950" s="150"/>
    </row>
    <row r="95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50"/>
      <c r="AE951" s="150"/>
      <c r="AF951" s="150"/>
      <c r="AG951" s="150"/>
      <c r="AH951" s="150"/>
      <c r="AI951" s="150"/>
      <c r="AJ951" s="150"/>
      <c r="AK951" s="150"/>
      <c r="AL951" s="150"/>
    </row>
    <row r="952">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c r="AD952" s="150"/>
      <c r="AE952" s="150"/>
      <c r="AF952" s="150"/>
      <c r="AG952" s="150"/>
      <c r="AH952" s="150"/>
      <c r="AI952" s="150"/>
      <c r="AJ952" s="150"/>
      <c r="AK952" s="150"/>
      <c r="AL952" s="150"/>
    </row>
    <row r="95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c r="AD953" s="150"/>
      <c r="AE953" s="150"/>
      <c r="AF953" s="150"/>
      <c r="AG953" s="150"/>
      <c r="AH953" s="150"/>
      <c r="AI953" s="150"/>
      <c r="AJ953" s="150"/>
      <c r="AK953" s="150"/>
      <c r="AL953" s="150"/>
    </row>
    <row r="954">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c r="AD954" s="150"/>
      <c r="AE954" s="150"/>
      <c r="AF954" s="150"/>
      <c r="AG954" s="150"/>
      <c r="AH954" s="150"/>
      <c r="AI954" s="150"/>
      <c r="AJ954" s="150"/>
      <c r="AK954" s="150"/>
      <c r="AL954" s="150"/>
    </row>
    <row r="955">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c r="AD955" s="150"/>
      <c r="AE955" s="150"/>
      <c r="AF955" s="150"/>
      <c r="AG955" s="150"/>
      <c r="AH955" s="150"/>
      <c r="AI955" s="150"/>
      <c r="AJ955" s="150"/>
      <c r="AK955" s="150"/>
      <c r="AL955" s="150"/>
    </row>
    <row r="956">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c r="AD956" s="150"/>
      <c r="AE956" s="150"/>
      <c r="AF956" s="150"/>
      <c r="AG956" s="150"/>
      <c r="AH956" s="150"/>
      <c r="AI956" s="150"/>
      <c r="AJ956" s="150"/>
      <c r="AK956" s="150"/>
      <c r="AL956" s="150"/>
    </row>
    <row r="957">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50"/>
      <c r="AE957" s="150"/>
      <c r="AF957" s="150"/>
      <c r="AG957" s="150"/>
      <c r="AH957" s="150"/>
      <c r="AI957" s="150"/>
      <c r="AJ957" s="150"/>
      <c r="AK957" s="150"/>
      <c r="AL957" s="150"/>
    </row>
    <row r="958">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c r="AD958" s="150"/>
      <c r="AE958" s="150"/>
      <c r="AF958" s="150"/>
      <c r="AG958" s="150"/>
      <c r="AH958" s="150"/>
      <c r="AI958" s="150"/>
      <c r="AJ958" s="150"/>
      <c r="AK958" s="150"/>
      <c r="AL958" s="150"/>
    </row>
    <row r="959">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c r="AD959" s="150"/>
      <c r="AE959" s="150"/>
      <c r="AF959" s="150"/>
      <c r="AG959" s="150"/>
      <c r="AH959" s="150"/>
      <c r="AI959" s="150"/>
      <c r="AJ959" s="150"/>
      <c r="AK959" s="150"/>
      <c r="AL959" s="150"/>
    </row>
    <row r="960">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c r="AD960" s="150"/>
      <c r="AE960" s="150"/>
      <c r="AF960" s="150"/>
      <c r="AG960" s="150"/>
      <c r="AH960" s="150"/>
      <c r="AI960" s="150"/>
      <c r="AJ960" s="150"/>
      <c r="AK960" s="150"/>
      <c r="AL960" s="150"/>
    </row>
    <row r="96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c r="AD961" s="150"/>
      <c r="AE961" s="150"/>
      <c r="AF961" s="150"/>
      <c r="AG961" s="150"/>
      <c r="AH961" s="150"/>
      <c r="AI961" s="150"/>
      <c r="AJ961" s="150"/>
      <c r="AK961" s="150"/>
      <c r="AL961" s="150"/>
    </row>
    <row r="962">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c r="AD962" s="150"/>
      <c r="AE962" s="150"/>
      <c r="AF962" s="150"/>
      <c r="AG962" s="150"/>
      <c r="AH962" s="150"/>
      <c r="AI962" s="150"/>
      <c r="AJ962" s="150"/>
      <c r="AK962" s="150"/>
      <c r="AL962" s="150"/>
    </row>
    <row r="96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50"/>
      <c r="AE963" s="150"/>
      <c r="AF963" s="150"/>
      <c r="AG963" s="150"/>
      <c r="AH963" s="150"/>
      <c r="AI963" s="150"/>
      <c r="AJ963" s="150"/>
      <c r="AK963" s="150"/>
      <c r="AL963" s="150"/>
    </row>
    <row r="964">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c r="AD964" s="150"/>
      <c r="AE964" s="150"/>
      <c r="AF964" s="150"/>
      <c r="AG964" s="150"/>
      <c r="AH964" s="150"/>
      <c r="AI964" s="150"/>
      <c r="AJ964" s="150"/>
      <c r="AK964" s="150"/>
      <c r="AL964" s="150"/>
    </row>
    <row r="965">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c r="AD965" s="150"/>
      <c r="AE965" s="150"/>
      <c r="AF965" s="150"/>
      <c r="AG965" s="150"/>
      <c r="AH965" s="150"/>
      <c r="AI965" s="150"/>
      <c r="AJ965" s="150"/>
      <c r="AK965" s="150"/>
      <c r="AL965" s="150"/>
    </row>
    <row r="966">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c r="AD966" s="150"/>
      <c r="AE966" s="150"/>
      <c r="AF966" s="150"/>
      <c r="AG966" s="150"/>
      <c r="AH966" s="150"/>
      <c r="AI966" s="150"/>
      <c r="AJ966" s="150"/>
      <c r="AK966" s="150"/>
      <c r="AL966" s="150"/>
    </row>
    <row r="967">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c r="AD967" s="150"/>
      <c r="AE967" s="150"/>
      <c r="AF967" s="150"/>
      <c r="AG967" s="150"/>
      <c r="AH967" s="150"/>
      <c r="AI967" s="150"/>
      <c r="AJ967" s="150"/>
      <c r="AK967" s="150"/>
      <c r="AL967" s="150"/>
    </row>
    <row r="968">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c r="AD968" s="150"/>
      <c r="AE968" s="150"/>
      <c r="AF968" s="150"/>
      <c r="AG968" s="150"/>
      <c r="AH968" s="150"/>
      <c r="AI968" s="150"/>
      <c r="AJ968" s="150"/>
      <c r="AK968" s="150"/>
      <c r="AL968" s="150"/>
    </row>
    <row r="969">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50"/>
      <c r="AE969" s="150"/>
      <c r="AF969" s="150"/>
      <c r="AG969" s="150"/>
      <c r="AH969" s="150"/>
      <c r="AI969" s="150"/>
      <c r="AJ969" s="150"/>
      <c r="AK969" s="150"/>
      <c r="AL969" s="150"/>
    </row>
    <row r="970">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c r="AD970" s="150"/>
      <c r="AE970" s="150"/>
      <c r="AF970" s="150"/>
      <c r="AG970" s="150"/>
      <c r="AH970" s="150"/>
      <c r="AI970" s="150"/>
      <c r="AJ970" s="150"/>
      <c r="AK970" s="150"/>
      <c r="AL970" s="150"/>
    </row>
    <row r="97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c r="AD971" s="150"/>
      <c r="AE971" s="150"/>
      <c r="AF971" s="150"/>
      <c r="AG971" s="150"/>
      <c r="AH971" s="150"/>
      <c r="AI971" s="150"/>
      <c r="AJ971" s="150"/>
      <c r="AK971" s="150"/>
      <c r="AL971" s="150"/>
    </row>
    <row r="972">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c r="AD972" s="150"/>
      <c r="AE972" s="150"/>
      <c r="AF972" s="150"/>
      <c r="AG972" s="150"/>
      <c r="AH972" s="150"/>
      <c r="AI972" s="150"/>
      <c r="AJ972" s="150"/>
      <c r="AK972" s="150"/>
      <c r="AL972" s="150"/>
    </row>
    <row r="97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c r="AD973" s="150"/>
      <c r="AE973" s="150"/>
      <c r="AF973" s="150"/>
      <c r="AG973" s="150"/>
      <c r="AH973" s="150"/>
      <c r="AI973" s="150"/>
      <c r="AJ973" s="150"/>
      <c r="AK973" s="150"/>
      <c r="AL973" s="150"/>
    </row>
    <row r="974">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50"/>
      <c r="AE974" s="150"/>
      <c r="AF974" s="150"/>
      <c r="AG974" s="150"/>
      <c r="AH974" s="150"/>
      <c r="AI974" s="150"/>
      <c r="AJ974" s="150"/>
      <c r="AK974" s="150"/>
      <c r="AL974" s="150"/>
    </row>
    <row r="975">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c r="AD975" s="150"/>
      <c r="AE975" s="150"/>
      <c r="AF975" s="150"/>
      <c r="AG975" s="150"/>
      <c r="AH975" s="150"/>
      <c r="AI975" s="150"/>
      <c r="AJ975" s="150"/>
      <c r="AK975" s="150"/>
      <c r="AL975" s="150"/>
    </row>
    <row r="976">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c r="AD976" s="150"/>
      <c r="AE976" s="150"/>
      <c r="AF976" s="150"/>
      <c r="AG976" s="150"/>
      <c r="AH976" s="150"/>
      <c r="AI976" s="150"/>
      <c r="AJ976" s="150"/>
      <c r="AK976" s="150"/>
      <c r="AL976" s="150"/>
    </row>
    <row r="977">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c r="AD977" s="150"/>
      <c r="AE977" s="150"/>
      <c r="AF977" s="150"/>
      <c r="AG977" s="150"/>
      <c r="AH977" s="150"/>
      <c r="AI977" s="150"/>
      <c r="AJ977" s="150"/>
      <c r="AK977" s="150"/>
      <c r="AL977" s="150"/>
    </row>
    <row r="978">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c r="AD978" s="150"/>
      <c r="AE978" s="150"/>
      <c r="AF978" s="150"/>
      <c r="AG978" s="150"/>
      <c r="AH978" s="150"/>
      <c r="AI978" s="150"/>
      <c r="AJ978" s="150"/>
      <c r="AK978" s="150"/>
      <c r="AL978" s="150"/>
    </row>
    <row r="979">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50"/>
      <c r="AE979" s="150"/>
      <c r="AF979" s="150"/>
      <c r="AG979" s="150"/>
      <c r="AH979" s="150"/>
      <c r="AI979" s="150"/>
      <c r="AJ979" s="150"/>
      <c r="AK979" s="150"/>
      <c r="AL979" s="150"/>
    </row>
    <row r="980">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c r="AD980" s="150"/>
      <c r="AE980" s="150"/>
      <c r="AF980" s="150"/>
      <c r="AG980" s="150"/>
      <c r="AH980" s="150"/>
      <c r="AI980" s="150"/>
      <c r="AJ980" s="150"/>
      <c r="AK980" s="150"/>
      <c r="AL980" s="150"/>
    </row>
    <row r="98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c r="AD981" s="150"/>
      <c r="AE981" s="150"/>
      <c r="AF981" s="150"/>
      <c r="AG981" s="150"/>
      <c r="AH981" s="150"/>
      <c r="AI981" s="150"/>
      <c r="AJ981" s="150"/>
      <c r="AK981" s="150"/>
      <c r="AL981" s="150"/>
    </row>
    <row r="982">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c r="AD982" s="150"/>
      <c r="AE982" s="150"/>
      <c r="AF982" s="150"/>
      <c r="AG982" s="150"/>
      <c r="AH982" s="150"/>
      <c r="AI982" s="150"/>
      <c r="AJ982" s="150"/>
      <c r="AK982" s="150"/>
      <c r="AL982" s="150"/>
    </row>
    <row r="98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c r="AD983" s="150"/>
      <c r="AE983" s="150"/>
      <c r="AF983" s="150"/>
      <c r="AG983" s="150"/>
      <c r="AH983" s="150"/>
      <c r="AI983" s="150"/>
      <c r="AJ983" s="150"/>
      <c r="AK983" s="150"/>
      <c r="AL983" s="150"/>
    </row>
  </sheetData>
  <mergeCells count="17">
    <mergeCell ref="B3:I3"/>
    <mergeCell ref="B4:I4"/>
    <mergeCell ref="C5:D5"/>
    <mergeCell ref="E5:F5"/>
    <mergeCell ref="G5:I5"/>
    <mergeCell ref="C6:D6"/>
    <mergeCell ref="E6:F6"/>
    <mergeCell ref="B26:B28"/>
    <mergeCell ref="A29:K29"/>
    <mergeCell ref="B31:B33"/>
    <mergeCell ref="G6:I6"/>
    <mergeCell ref="A11:K11"/>
    <mergeCell ref="B12:B13"/>
    <mergeCell ref="B14:B17"/>
    <mergeCell ref="A18:K18"/>
    <mergeCell ref="B20:B23"/>
    <mergeCell ref="A24:K24"/>
  </mergeCells>
  <dataValidations>
    <dataValidation type="list" allowBlank="1" showErrorMessage="1" sqref="I8:I9">
      <formula1>$O$2:$O$6</formula1>
    </dataValidation>
  </dataValidations>
  <hyperlinks>
    <hyperlink r:id="rId1" ref="E12"/>
    <hyperlink r:id="rId2" ref="E13"/>
    <hyperlink r:id="rId3" ref="E14"/>
    <hyperlink r:id="rId4" ref="E15"/>
    <hyperlink r:id="rId5" ref="E16"/>
    <hyperlink r:id="rId6" ref="E19"/>
    <hyperlink r:id="rId7" ref="E20"/>
    <hyperlink r:id="rId8" ref="E25"/>
    <hyperlink r:id="rId9" ref="E26"/>
  </hyperlinks>
  <printOptions/>
  <pageMargins bottom="0.75" footer="0.0" header="0.0" left="0.7" right="0.7" top="0.75"/>
  <pageSetup orientation="landscape"/>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1.14"/>
    <col customWidth="1" min="2" max="2" width="34.57"/>
    <col customWidth="1" min="3" max="3" width="64.0"/>
    <col customWidth="1" min="4" max="4" width="98.29"/>
    <col customWidth="1" min="5" max="5" width="75.29"/>
    <col customWidth="1" min="6" max="6" width="128.71"/>
    <col customWidth="1" min="7" max="7" width="79.14"/>
    <col customWidth="1" min="8" max="8" width="39.29"/>
    <col customWidth="1" min="9" max="9" width="11.86"/>
    <col customWidth="1" min="10" max="10" width="13.57"/>
    <col customWidth="1" min="11" max="11" width="11.86"/>
  </cols>
  <sheetData>
    <row r="1">
      <c r="A1" s="149"/>
      <c r="B1" s="149"/>
      <c r="C1" s="149"/>
      <c r="D1" s="190"/>
      <c r="E1" s="190"/>
      <c r="F1" s="149"/>
      <c r="G1" s="149"/>
      <c r="H1" s="149"/>
      <c r="I1" s="149"/>
      <c r="J1" s="150"/>
      <c r="K1" s="150"/>
      <c r="L1" s="150"/>
      <c r="M1" s="150"/>
      <c r="N1" s="150"/>
      <c r="O1" s="150"/>
      <c r="P1" s="150"/>
      <c r="Q1" s="150"/>
      <c r="R1" s="150"/>
      <c r="S1" s="150"/>
      <c r="T1" s="150"/>
      <c r="U1" s="150"/>
      <c r="V1" s="150"/>
      <c r="W1" s="150"/>
      <c r="X1" s="150"/>
      <c r="Y1" s="150"/>
      <c r="Z1" s="150"/>
    </row>
    <row r="2">
      <c r="A2" s="151" t="s">
        <v>166</v>
      </c>
      <c r="B2" s="152"/>
      <c r="C2" s="153"/>
      <c r="D2" s="191"/>
      <c r="E2" s="191"/>
      <c r="F2" s="153"/>
      <c r="G2" s="153"/>
      <c r="H2" s="153"/>
      <c r="I2" s="154"/>
      <c r="J2" s="150"/>
      <c r="K2" s="150"/>
      <c r="L2" s="150"/>
      <c r="M2" s="150"/>
      <c r="N2" s="150"/>
      <c r="O2" s="155" t="s">
        <v>168</v>
      </c>
      <c r="P2" s="150"/>
      <c r="Q2" s="150"/>
      <c r="R2" s="150"/>
      <c r="S2" s="150"/>
      <c r="T2" s="150"/>
      <c r="U2" s="150"/>
      <c r="V2" s="150"/>
      <c r="W2" s="150"/>
      <c r="X2" s="150"/>
      <c r="Y2" s="150"/>
      <c r="Z2" s="150"/>
    </row>
    <row r="3">
      <c r="A3" s="156" t="s">
        <v>169</v>
      </c>
      <c r="B3" s="157"/>
      <c r="C3" s="23"/>
      <c r="D3" s="23"/>
      <c r="E3" s="23"/>
      <c r="F3" s="23"/>
      <c r="G3" s="23"/>
      <c r="H3" s="23"/>
      <c r="I3" s="158"/>
      <c r="J3" s="150"/>
      <c r="K3" s="150"/>
      <c r="L3" s="150"/>
      <c r="M3" s="150"/>
      <c r="N3" s="150"/>
      <c r="O3" s="159" t="s">
        <v>170</v>
      </c>
      <c r="P3" s="150"/>
      <c r="Q3" s="150"/>
      <c r="R3" s="150"/>
      <c r="S3" s="150"/>
      <c r="T3" s="150"/>
      <c r="U3" s="150"/>
      <c r="V3" s="150"/>
      <c r="W3" s="150"/>
      <c r="X3" s="150"/>
      <c r="Y3" s="150"/>
      <c r="Z3" s="150"/>
    </row>
    <row r="4">
      <c r="A4" s="156" t="s">
        <v>171</v>
      </c>
      <c r="B4" s="160" t="s">
        <v>172</v>
      </c>
      <c r="C4" s="161"/>
      <c r="D4" s="161"/>
      <c r="E4" s="161"/>
      <c r="F4" s="161"/>
      <c r="G4" s="161"/>
      <c r="H4" s="161"/>
      <c r="I4" s="162"/>
      <c r="J4" s="150"/>
      <c r="K4" s="149"/>
      <c r="L4" s="150"/>
      <c r="M4" s="150"/>
      <c r="N4" s="150"/>
      <c r="O4" s="163" t="s">
        <v>173</v>
      </c>
      <c r="P4" s="150"/>
      <c r="Q4" s="150"/>
      <c r="R4" s="150"/>
      <c r="S4" s="150"/>
      <c r="T4" s="150"/>
      <c r="U4" s="150"/>
      <c r="V4" s="150"/>
      <c r="W4" s="150"/>
      <c r="X4" s="150"/>
      <c r="Y4" s="150"/>
      <c r="Z4" s="150"/>
    </row>
    <row r="5">
      <c r="A5" s="164" t="s">
        <v>168</v>
      </c>
      <c r="B5" s="165" t="s">
        <v>170</v>
      </c>
      <c r="C5" s="166" t="s">
        <v>174</v>
      </c>
      <c r="D5" s="167"/>
      <c r="E5" s="192" t="s">
        <v>175</v>
      </c>
      <c r="F5" s="167"/>
      <c r="G5" s="166" t="s">
        <v>176</v>
      </c>
      <c r="H5" s="161"/>
      <c r="I5" s="162"/>
      <c r="J5" s="168"/>
      <c r="K5" s="169">
        <f>NOW()</f>
        <v>46202.24998</v>
      </c>
      <c r="L5" s="170"/>
      <c r="M5" s="150"/>
      <c r="N5" s="150"/>
      <c r="O5" s="150" t="s">
        <v>177</v>
      </c>
      <c r="P5" s="150"/>
      <c r="Q5" s="150"/>
      <c r="R5" s="150"/>
      <c r="S5" s="150"/>
      <c r="T5" s="150"/>
      <c r="U5" s="150"/>
      <c r="V5" s="150"/>
      <c r="W5" s="150"/>
      <c r="X5" s="150"/>
      <c r="Y5" s="150"/>
      <c r="Z5" s="150"/>
    </row>
    <row r="6">
      <c r="A6" s="171">
        <f>COUNTIF(I10:I951,"Pass")</f>
        <v>11</v>
      </c>
      <c r="B6" s="172">
        <f>COUNTIF(I10:I951,"Fail")</f>
        <v>0</v>
      </c>
      <c r="C6" s="173" t="str">
        <f>H6-F6-C6-B6</f>
        <v>#REF!</v>
      </c>
      <c r="D6" s="174"/>
      <c r="E6" s="193">
        <f>COUNTIF(J$12:J$951,"N/A")</f>
        <v>0</v>
      </c>
      <c r="F6" s="174"/>
      <c r="G6" s="175">
        <f>COUNTA(C10:C951)</f>
        <v>11</v>
      </c>
      <c r="H6" s="176"/>
      <c r="I6" s="177"/>
      <c r="J6" s="150"/>
      <c r="K6" s="150"/>
      <c r="L6" s="150"/>
      <c r="M6" s="150"/>
      <c r="N6" s="150"/>
      <c r="O6" s="150"/>
      <c r="P6" s="150"/>
      <c r="Q6" s="150"/>
      <c r="R6" s="150"/>
      <c r="S6" s="150"/>
      <c r="T6" s="150"/>
      <c r="U6" s="150"/>
      <c r="V6" s="150"/>
      <c r="W6" s="150"/>
      <c r="X6" s="150"/>
      <c r="Y6" s="150"/>
      <c r="Z6" s="150"/>
    </row>
    <row r="7">
      <c r="A7" s="178"/>
      <c r="B7" s="153"/>
      <c r="C7" s="153"/>
      <c r="D7" s="191"/>
      <c r="E7" s="191"/>
      <c r="F7" s="153"/>
      <c r="G7" s="153"/>
      <c r="H7" s="153"/>
      <c r="I7" s="179"/>
      <c r="J7" s="149"/>
      <c r="K7" s="149"/>
      <c r="L7" s="150"/>
      <c r="M7" s="149"/>
      <c r="N7" s="150"/>
      <c r="O7" s="150"/>
      <c r="P7" s="150"/>
      <c r="Q7" s="150"/>
      <c r="R7" s="150"/>
      <c r="S7" s="150"/>
      <c r="T7" s="150"/>
      <c r="U7" s="150"/>
      <c r="V7" s="150"/>
      <c r="W7" s="150"/>
      <c r="X7" s="150"/>
      <c r="Y7" s="150"/>
      <c r="Z7" s="150"/>
    </row>
    <row r="8">
      <c r="A8" s="194" t="s">
        <v>178</v>
      </c>
      <c r="B8" s="194" t="s">
        <v>179</v>
      </c>
      <c r="C8" s="194" t="s">
        <v>180</v>
      </c>
      <c r="D8" s="194" t="s">
        <v>181</v>
      </c>
      <c r="E8" s="194" t="s">
        <v>182</v>
      </c>
      <c r="F8" s="194" t="s">
        <v>183</v>
      </c>
      <c r="G8" s="194" t="s">
        <v>184</v>
      </c>
      <c r="H8" s="194" t="s">
        <v>185</v>
      </c>
      <c r="I8" s="194" t="s">
        <v>186</v>
      </c>
      <c r="J8" s="194" t="s">
        <v>187</v>
      </c>
      <c r="K8" s="194" t="s">
        <v>309</v>
      </c>
      <c r="L8" s="195"/>
      <c r="M8" s="196"/>
      <c r="N8" s="182"/>
      <c r="O8" s="182"/>
      <c r="P8" s="182"/>
      <c r="Q8" s="182"/>
      <c r="R8" s="182"/>
      <c r="S8" s="182"/>
      <c r="T8" s="182"/>
      <c r="U8" s="182"/>
      <c r="V8" s="182"/>
      <c r="W8" s="182"/>
      <c r="X8" s="182"/>
      <c r="Y8" s="182"/>
      <c r="Z8" s="182"/>
    </row>
    <row r="9">
      <c r="A9" s="197"/>
      <c r="B9" s="198" t="s">
        <v>310</v>
      </c>
      <c r="C9" s="198"/>
      <c r="D9" s="198"/>
      <c r="E9" s="198"/>
      <c r="F9" s="198"/>
      <c r="G9" s="198"/>
      <c r="H9" s="198"/>
      <c r="I9" s="197" t="s">
        <v>311</v>
      </c>
      <c r="J9" s="197"/>
      <c r="K9" s="197"/>
      <c r="L9" s="182"/>
      <c r="M9" s="182"/>
      <c r="N9" s="182"/>
      <c r="O9" s="182"/>
      <c r="P9" s="182"/>
      <c r="Q9" s="182"/>
      <c r="R9" s="182"/>
      <c r="S9" s="182"/>
      <c r="T9" s="182"/>
      <c r="U9" s="182"/>
      <c r="V9" s="182"/>
      <c r="W9" s="182"/>
      <c r="X9" s="182"/>
      <c r="Y9" s="182"/>
      <c r="Z9" s="182"/>
    </row>
    <row r="10">
      <c r="A10" s="186" t="s">
        <v>312</v>
      </c>
      <c r="B10" s="199" t="s">
        <v>313</v>
      </c>
      <c r="C10" s="199" t="s">
        <v>314</v>
      </c>
      <c r="D10" s="199" t="s">
        <v>315</v>
      </c>
      <c r="E10" s="199" t="s">
        <v>316</v>
      </c>
      <c r="F10" s="199" t="s">
        <v>314</v>
      </c>
      <c r="G10" s="199" t="s">
        <v>314</v>
      </c>
      <c r="H10" s="199" t="s">
        <v>317</v>
      </c>
      <c r="I10" s="200" t="s">
        <v>168</v>
      </c>
      <c r="J10" s="201"/>
      <c r="K10" s="202"/>
      <c r="L10" s="182"/>
      <c r="M10" s="182"/>
      <c r="N10" s="182"/>
      <c r="O10" s="182"/>
      <c r="P10" s="182"/>
      <c r="Q10" s="182"/>
      <c r="R10" s="182"/>
      <c r="S10" s="182"/>
      <c r="T10" s="182"/>
      <c r="U10" s="182"/>
      <c r="V10" s="182"/>
      <c r="W10" s="182"/>
      <c r="X10" s="182"/>
      <c r="Y10" s="182"/>
      <c r="Z10" s="182"/>
    </row>
    <row r="11">
      <c r="A11" s="92"/>
      <c r="B11" s="92"/>
      <c r="C11" s="92"/>
      <c r="D11" s="92"/>
      <c r="E11" s="92"/>
      <c r="F11" s="92"/>
      <c r="G11" s="92"/>
      <c r="H11" s="92"/>
      <c r="I11" s="92"/>
      <c r="J11" s="203"/>
      <c r="K11" s="202"/>
      <c r="L11" s="182"/>
      <c r="M11" s="182"/>
      <c r="N11" s="182"/>
      <c r="O11" s="182"/>
      <c r="P11" s="182"/>
      <c r="Q11" s="182"/>
      <c r="R11" s="182"/>
      <c r="S11" s="182"/>
      <c r="T11" s="182"/>
      <c r="U11" s="182"/>
      <c r="V11" s="182"/>
      <c r="W11" s="182"/>
      <c r="X11" s="182"/>
      <c r="Y11" s="182"/>
      <c r="Z11" s="182"/>
    </row>
    <row r="12">
      <c r="A12" s="92"/>
      <c r="B12" s="92"/>
      <c r="C12" s="92"/>
      <c r="D12" s="92"/>
      <c r="E12" s="92"/>
      <c r="F12" s="92"/>
      <c r="G12" s="92"/>
      <c r="H12" s="92"/>
      <c r="I12" s="92"/>
      <c r="J12" s="203"/>
      <c r="K12" s="202"/>
      <c r="L12" s="182"/>
      <c r="M12" s="182"/>
      <c r="N12" s="182"/>
      <c r="O12" s="182"/>
      <c r="P12" s="182"/>
      <c r="Q12" s="182"/>
      <c r="R12" s="182"/>
      <c r="S12" s="182"/>
      <c r="T12" s="182"/>
      <c r="U12" s="182"/>
      <c r="V12" s="182"/>
      <c r="W12" s="182"/>
      <c r="X12" s="182"/>
      <c r="Y12" s="182"/>
      <c r="Z12" s="182"/>
    </row>
    <row r="13">
      <c r="A13" s="92"/>
      <c r="B13" s="92"/>
      <c r="C13" s="92"/>
      <c r="D13" s="92"/>
      <c r="E13" s="92"/>
      <c r="F13" s="92"/>
      <c r="G13" s="92"/>
      <c r="H13" s="92"/>
      <c r="I13" s="92"/>
      <c r="J13" s="203"/>
      <c r="K13" s="202"/>
      <c r="L13" s="182"/>
      <c r="M13" s="182"/>
      <c r="N13" s="182"/>
      <c r="O13" s="182"/>
      <c r="P13" s="182"/>
      <c r="Q13" s="182"/>
      <c r="R13" s="182"/>
      <c r="S13" s="182"/>
      <c r="T13" s="182"/>
      <c r="U13" s="182"/>
      <c r="V13" s="182"/>
      <c r="W13" s="182"/>
      <c r="X13" s="182"/>
      <c r="Y13" s="182"/>
      <c r="Z13" s="182"/>
    </row>
    <row r="14">
      <c r="A14" s="92"/>
      <c r="B14" s="92"/>
      <c r="C14" s="92"/>
      <c r="D14" s="92"/>
      <c r="E14" s="92"/>
      <c r="F14" s="92"/>
      <c r="G14" s="92"/>
      <c r="H14" s="92"/>
      <c r="I14" s="92"/>
      <c r="J14" s="203"/>
      <c r="K14" s="202"/>
      <c r="L14" s="182"/>
      <c r="M14" s="182"/>
      <c r="N14" s="182"/>
      <c r="O14" s="182"/>
      <c r="P14" s="182"/>
      <c r="Q14" s="182"/>
      <c r="R14" s="182"/>
      <c r="S14" s="182"/>
      <c r="T14" s="182"/>
      <c r="U14" s="182"/>
      <c r="V14" s="182"/>
      <c r="W14" s="182"/>
      <c r="X14" s="182"/>
      <c r="Y14" s="182"/>
      <c r="Z14" s="182"/>
    </row>
    <row r="15">
      <c r="A15" s="92"/>
      <c r="B15" s="92"/>
      <c r="C15" s="92"/>
      <c r="D15" s="92"/>
      <c r="E15" s="92"/>
      <c r="F15" s="92"/>
      <c r="G15" s="92"/>
      <c r="H15" s="92"/>
      <c r="I15" s="92"/>
      <c r="J15" s="203"/>
      <c r="K15" s="202"/>
      <c r="L15" s="182"/>
      <c r="M15" s="182"/>
      <c r="N15" s="182"/>
      <c r="O15" s="182"/>
      <c r="P15" s="182"/>
      <c r="Q15" s="182"/>
      <c r="R15" s="182"/>
      <c r="S15" s="182"/>
      <c r="T15" s="182"/>
      <c r="U15" s="182"/>
      <c r="V15" s="182"/>
      <c r="W15" s="182"/>
      <c r="X15" s="182"/>
      <c r="Y15" s="182"/>
      <c r="Z15" s="182"/>
    </row>
    <row r="16">
      <c r="A16" s="92"/>
      <c r="B16" s="92"/>
      <c r="C16" s="92"/>
      <c r="D16" s="92"/>
      <c r="E16" s="92"/>
      <c r="F16" s="92"/>
      <c r="G16" s="92"/>
      <c r="H16" s="92"/>
      <c r="I16" s="92"/>
      <c r="J16" s="203"/>
      <c r="K16" s="202"/>
      <c r="L16" s="182"/>
      <c r="M16" s="182"/>
      <c r="N16" s="182"/>
      <c r="O16" s="182"/>
      <c r="P16" s="182"/>
      <c r="Q16" s="182"/>
      <c r="R16" s="182"/>
      <c r="S16" s="182"/>
      <c r="T16" s="182"/>
      <c r="U16" s="182"/>
      <c r="V16" s="182"/>
      <c r="W16" s="182"/>
      <c r="X16" s="182"/>
      <c r="Y16" s="182"/>
      <c r="Z16" s="182"/>
    </row>
    <row r="17">
      <c r="A17" s="92"/>
      <c r="B17" s="92"/>
      <c r="C17" s="92"/>
      <c r="D17" s="92"/>
      <c r="E17" s="92"/>
      <c r="F17" s="92"/>
      <c r="G17" s="92"/>
      <c r="H17" s="92"/>
      <c r="I17" s="92"/>
      <c r="J17" s="203"/>
      <c r="K17" s="202"/>
      <c r="L17" s="182"/>
      <c r="M17" s="182"/>
      <c r="N17" s="182"/>
      <c r="O17" s="182"/>
      <c r="P17" s="182"/>
      <c r="Q17" s="182"/>
      <c r="R17" s="182"/>
      <c r="S17" s="182"/>
      <c r="T17" s="182"/>
      <c r="U17" s="182"/>
      <c r="V17" s="182"/>
      <c r="W17" s="182"/>
      <c r="X17" s="182"/>
      <c r="Y17" s="182"/>
      <c r="Z17" s="182"/>
    </row>
    <row r="18">
      <c r="A18" s="21"/>
      <c r="B18" s="21"/>
      <c r="C18" s="21"/>
      <c r="D18" s="21"/>
      <c r="E18" s="21"/>
      <c r="F18" s="21"/>
      <c r="G18" s="21"/>
      <c r="H18" s="21"/>
      <c r="I18" s="21"/>
      <c r="J18" s="204"/>
      <c r="K18" s="202"/>
      <c r="L18" s="182"/>
      <c r="M18" s="182"/>
      <c r="N18" s="182"/>
      <c r="O18" s="182"/>
      <c r="P18" s="182"/>
      <c r="Q18" s="182"/>
      <c r="R18" s="182"/>
      <c r="S18" s="182"/>
      <c r="T18" s="182"/>
      <c r="U18" s="182"/>
      <c r="V18" s="182"/>
      <c r="W18" s="182"/>
      <c r="X18" s="182"/>
      <c r="Y18" s="182"/>
      <c r="Z18" s="182"/>
    </row>
    <row r="19">
      <c r="A19" s="186" t="s">
        <v>318</v>
      </c>
      <c r="B19" s="199" t="s">
        <v>319</v>
      </c>
      <c r="C19" s="199" t="s">
        <v>320</v>
      </c>
      <c r="D19" s="199" t="s">
        <v>321</v>
      </c>
      <c r="E19" s="199" t="s">
        <v>322</v>
      </c>
      <c r="F19" s="199" t="s">
        <v>323</v>
      </c>
      <c r="G19" s="199" t="s">
        <v>324</v>
      </c>
      <c r="H19" s="199" t="s">
        <v>325</v>
      </c>
      <c r="I19" s="199" t="s">
        <v>168</v>
      </c>
      <c r="J19" s="201"/>
      <c r="K19" s="202"/>
      <c r="L19" s="182"/>
      <c r="M19" s="182"/>
      <c r="N19" s="182"/>
      <c r="O19" s="182"/>
      <c r="P19" s="182"/>
      <c r="Q19" s="182"/>
      <c r="R19" s="182"/>
      <c r="S19" s="182"/>
      <c r="T19" s="182"/>
      <c r="U19" s="182"/>
      <c r="V19" s="182"/>
      <c r="W19" s="182"/>
      <c r="X19" s="182"/>
      <c r="Y19" s="182"/>
      <c r="Z19" s="182"/>
    </row>
    <row r="20">
      <c r="A20" s="92"/>
      <c r="B20" s="92"/>
      <c r="C20" s="92"/>
      <c r="D20" s="92"/>
      <c r="E20" s="92"/>
      <c r="F20" s="92"/>
      <c r="G20" s="92"/>
      <c r="H20" s="92"/>
      <c r="I20" s="92"/>
      <c r="J20" s="203"/>
      <c r="K20" s="202"/>
      <c r="L20" s="182"/>
      <c r="M20" s="182"/>
      <c r="N20" s="182"/>
      <c r="O20" s="182"/>
      <c r="P20" s="182"/>
      <c r="Q20" s="182"/>
      <c r="R20" s="182"/>
      <c r="S20" s="182"/>
      <c r="T20" s="182"/>
      <c r="U20" s="182"/>
      <c r="V20" s="182"/>
      <c r="W20" s="182"/>
      <c r="X20" s="182"/>
      <c r="Y20" s="182"/>
      <c r="Z20" s="182"/>
    </row>
    <row r="21">
      <c r="A21" s="92"/>
      <c r="B21" s="92"/>
      <c r="C21" s="92"/>
      <c r="D21" s="92"/>
      <c r="E21" s="92"/>
      <c r="F21" s="92"/>
      <c r="G21" s="92"/>
      <c r="H21" s="92"/>
      <c r="I21" s="92"/>
      <c r="J21" s="203"/>
      <c r="K21" s="202"/>
      <c r="L21" s="182"/>
      <c r="M21" s="182"/>
      <c r="N21" s="182"/>
      <c r="O21" s="182"/>
      <c r="P21" s="182"/>
      <c r="Q21" s="182"/>
      <c r="R21" s="182"/>
      <c r="S21" s="182"/>
      <c r="T21" s="182"/>
      <c r="U21" s="182"/>
      <c r="V21" s="182"/>
      <c r="W21" s="182"/>
      <c r="X21" s="182"/>
      <c r="Y21" s="182"/>
      <c r="Z21" s="182"/>
    </row>
    <row r="22">
      <c r="A22" s="92"/>
      <c r="B22" s="92"/>
      <c r="C22" s="92"/>
      <c r="D22" s="92"/>
      <c r="E22" s="92"/>
      <c r="F22" s="92"/>
      <c r="G22" s="92"/>
      <c r="H22" s="92"/>
      <c r="I22" s="92"/>
      <c r="J22" s="203"/>
      <c r="K22" s="202"/>
      <c r="L22" s="182"/>
      <c r="M22" s="182"/>
      <c r="N22" s="182"/>
      <c r="O22" s="182"/>
      <c r="P22" s="182"/>
      <c r="Q22" s="182"/>
      <c r="R22" s="182"/>
      <c r="S22" s="182"/>
      <c r="T22" s="182"/>
      <c r="U22" s="182"/>
      <c r="V22" s="182"/>
      <c r="W22" s="182"/>
      <c r="X22" s="182"/>
      <c r="Y22" s="182"/>
      <c r="Z22" s="182"/>
    </row>
    <row r="23">
      <c r="A23" s="21"/>
      <c r="B23" s="21"/>
      <c r="C23" s="21"/>
      <c r="D23" s="21"/>
      <c r="E23" s="21"/>
      <c r="F23" s="21"/>
      <c r="G23" s="21"/>
      <c r="H23" s="21"/>
      <c r="I23" s="21"/>
      <c r="J23" s="204"/>
      <c r="K23" s="202"/>
      <c r="L23" s="182"/>
      <c r="M23" s="182"/>
      <c r="N23" s="182"/>
      <c r="O23" s="182"/>
      <c r="P23" s="182"/>
      <c r="Q23" s="182"/>
      <c r="R23" s="182"/>
      <c r="S23" s="182"/>
      <c r="T23" s="182"/>
      <c r="U23" s="182"/>
      <c r="V23" s="182"/>
      <c r="W23" s="182"/>
      <c r="X23" s="182"/>
      <c r="Y23" s="182"/>
      <c r="Z23" s="182"/>
    </row>
    <row r="24">
      <c r="A24" s="197"/>
      <c r="B24" s="197" t="s">
        <v>326</v>
      </c>
      <c r="C24" s="197"/>
      <c r="D24" s="197"/>
      <c r="E24" s="197"/>
      <c r="F24" s="197"/>
      <c r="G24" s="197"/>
      <c r="H24" s="197"/>
      <c r="I24" s="197"/>
      <c r="J24" s="197"/>
      <c r="K24" s="197"/>
      <c r="L24" s="182"/>
      <c r="M24" s="182"/>
      <c r="N24" s="182"/>
      <c r="O24" s="182"/>
      <c r="P24" s="182"/>
      <c r="Q24" s="182"/>
      <c r="R24" s="182"/>
      <c r="S24" s="182"/>
      <c r="T24" s="182"/>
      <c r="U24" s="182"/>
      <c r="V24" s="182"/>
      <c r="W24" s="182"/>
      <c r="X24" s="182"/>
      <c r="Y24" s="182"/>
      <c r="Z24" s="182"/>
    </row>
    <row r="25">
      <c r="A25" s="186" t="s">
        <v>327</v>
      </c>
      <c r="B25" s="199" t="s">
        <v>328</v>
      </c>
      <c r="C25" s="199" t="s">
        <v>329</v>
      </c>
      <c r="D25" s="199" t="s">
        <v>330</v>
      </c>
      <c r="E25" s="199" t="s">
        <v>331</v>
      </c>
      <c r="F25" s="199" t="s">
        <v>332</v>
      </c>
      <c r="G25" s="199" t="s">
        <v>332</v>
      </c>
      <c r="H25" s="199" t="s">
        <v>317</v>
      </c>
      <c r="I25" s="199" t="s">
        <v>168</v>
      </c>
      <c r="J25" s="201"/>
      <c r="K25" s="202"/>
      <c r="L25" s="182"/>
      <c r="M25" s="182"/>
      <c r="N25" s="182"/>
      <c r="O25" s="182"/>
      <c r="P25" s="182"/>
      <c r="Q25" s="182"/>
      <c r="R25" s="182"/>
      <c r="S25" s="182"/>
      <c r="T25" s="182"/>
      <c r="U25" s="182"/>
      <c r="V25" s="182"/>
      <c r="W25" s="182"/>
      <c r="X25" s="182"/>
      <c r="Y25" s="182"/>
      <c r="Z25" s="182"/>
    </row>
    <row r="26">
      <c r="A26" s="92"/>
      <c r="B26" s="92"/>
      <c r="C26" s="92"/>
      <c r="D26" s="92"/>
      <c r="E26" s="92"/>
      <c r="F26" s="92"/>
      <c r="G26" s="92"/>
      <c r="H26" s="92"/>
      <c r="I26" s="92"/>
      <c r="J26" s="203"/>
      <c r="K26" s="202"/>
      <c r="L26" s="182"/>
      <c r="M26" s="182"/>
      <c r="N26" s="182"/>
      <c r="O26" s="182"/>
      <c r="P26" s="182"/>
      <c r="Q26" s="182"/>
      <c r="R26" s="182"/>
      <c r="S26" s="182"/>
      <c r="T26" s="182"/>
      <c r="U26" s="182"/>
      <c r="V26" s="182"/>
      <c r="W26" s="182"/>
      <c r="X26" s="182"/>
      <c r="Y26" s="182"/>
      <c r="Z26" s="182"/>
    </row>
    <row r="27">
      <c r="A27" s="92"/>
      <c r="B27" s="92"/>
      <c r="C27" s="92"/>
      <c r="D27" s="92"/>
      <c r="E27" s="92"/>
      <c r="F27" s="92"/>
      <c r="G27" s="92"/>
      <c r="H27" s="92"/>
      <c r="I27" s="92"/>
      <c r="J27" s="203"/>
      <c r="K27" s="202"/>
      <c r="L27" s="182"/>
      <c r="M27" s="182"/>
      <c r="N27" s="182"/>
      <c r="O27" s="182"/>
      <c r="P27" s="182"/>
      <c r="Q27" s="182"/>
      <c r="R27" s="182"/>
      <c r="S27" s="182"/>
      <c r="T27" s="182"/>
      <c r="U27" s="182"/>
      <c r="V27" s="182"/>
      <c r="W27" s="182"/>
      <c r="X27" s="182"/>
      <c r="Y27" s="182"/>
      <c r="Z27" s="182"/>
    </row>
    <row r="28">
      <c r="A28" s="92"/>
      <c r="B28" s="92"/>
      <c r="C28" s="92"/>
      <c r="D28" s="92"/>
      <c r="E28" s="92"/>
      <c r="F28" s="92"/>
      <c r="G28" s="92"/>
      <c r="H28" s="92"/>
      <c r="I28" s="92"/>
      <c r="J28" s="203"/>
      <c r="K28" s="202"/>
      <c r="L28" s="182"/>
      <c r="M28" s="182"/>
      <c r="N28" s="182"/>
      <c r="O28" s="182"/>
      <c r="P28" s="182"/>
      <c r="Q28" s="182"/>
      <c r="R28" s="182"/>
      <c r="S28" s="182"/>
      <c r="T28" s="182"/>
      <c r="U28" s="182"/>
      <c r="V28" s="182"/>
      <c r="W28" s="182"/>
      <c r="X28" s="182"/>
      <c r="Y28" s="182"/>
      <c r="Z28" s="182"/>
    </row>
    <row r="29">
      <c r="A29" s="92"/>
      <c r="B29" s="92"/>
      <c r="C29" s="92"/>
      <c r="D29" s="92"/>
      <c r="E29" s="92"/>
      <c r="F29" s="92"/>
      <c r="G29" s="92"/>
      <c r="H29" s="92"/>
      <c r="I29" s="92"/>
      <c r="J29" s="203"/>
      <c r="K29" s="202"/>
      <c r="L29" s="182"/>
      <c r="M29" s="182"/>
      <c r="N29" s="182"/>
      <c r="O29" s="182"/>
      <c r="P29" s="182"/>
      <c r="Q29" s="182"/>
      <c r="R29" s="182"/>
      <c r="S29" s="182"/>
      <c r="T29" s="182"/>
      <c r="U29" s="182"/>
      <c r="V29" s="182"/>
      <c r="W29" s="182"/>
      <c r="X29" s="182"/>
      <c r="Y29" s="182"/>
      <c r="Z29" s="182"/>
    </row>
    <row r="30" ht="34.5" customHeight="1">
      <c r="A30" s="92"/>
      <c r="B30" s="92"/>
      <c r="C30" s="92"/>
      <c r="D30" s="92"/>
      <c r="E30" s="92"/>
      <c r="F30" s="92"/>
      <c r="G30" s="92"/>
      <c r="H30" s="92"/>
      <c r="I30" s="92"/>
      <c r="J30" s="203"/>
      <c r="K30" s="202"/>
      <c r="L30" s="182"/>
      <c r="M30" s="182"/>
      <c r="N30" s="182"/>
      <c r="O30" s="182"/>
      <c r="P30" s="182"/>
      <c r="Q30" s="182"/>
      <c r="R30" s="182"/>
      <c r="S30" s="182"/>
      <c r="T30" s="182"/>
      <c r="U30" s="182"/>
      <c r="V30" s="182"/>
      <c r="W30" s="182"/>
      <c r="X30" s="182"/>
      <c r="Y30" s="182"/>
      <c r="Z30" s="182"/>
    </row>
    <row r="31">
      <c r="A31" s="92"/>
      <c r="B31" s="92"/>
      <c r="C31" s="92"/>
      <c r="D31" s="92"/>
      <c r="E31" s="92"/>
      <c r="F31" s="92"/>
      <c r="G31" s="92"/>
      <c r="H31" s="92"/>
      <c r="I31" s="92"/>
      <c r="J31" s="203"/>
      <c r="K31" s="202"/>
      <c r="L31" s="182"/>
      <c r="M31" s="182"/>
      <c r="N31" s="182"/>
      <c r="O31" s="182"/>
      <c r="P31" s="182"/>
      <c r="Q31" s="182"/>
      <c r="R31" s="182"/>
      <c r="S31" s="182"/>
      <c r="T31" s="182"/>
      <c r="U31" s="182"/>
      <c r="V31" s="182"/>
      <c r="W31" s="182"/>
      <c r="X31" s="182"/>
      <c r="Y31" s="182"/>
      <c r="Z31" s="182"/>
    </row>
    <row r="32">
      <c r="A32" s="92"/>
      <c r="B32" s="92"/>
      <c r="C32" s="92"/>
      <c r="D32" s="92"/>
      <c r="E32" s="92"/>
      <c r="F32" s="92"/>
      <c r="G32" s="92"/>
      <c r="H32" s="92"/>
      <c r="I32" s="92"/>
      <c r="J32" s="203"/>
      <c r="K32" s="202"/>
      <c r="L32" s="182"/>
      <c r="M32" s="182"/>
      <c r="N32" s="182"/>
      <c r="O32" s="182"/>
      <c r="P32" s="182"/>
      <c r="Q32" s="182"/>
      <c r="R32" s="182"/>
      <c r="S32" s="182"/>
      <c r="T32" s="182"/>
      <c r="U32" s="182"/>
      <c r="V32" s="182"/>
      <c r="W32" s="182"/>
      <c r="X32" s="182"/>
      <c r="Y32" s="182"/>
      <c r="Z32" s="182"/>
    </row>
    <row r="33" ht="84.0" customHeight="1">
      <c r="A33" s="92"/>
      <c r="B33" s="92"/>
      <c r="C33" s="92"/>
      <c r="D33" s="92"/>
      <c r="E33" s="92"/>
      <c r="F33" s="92"/>
      <c r="G33" s="92"/>
      <c r="H33" s="92"/>
      <c r="I33" s="92"/>
      <c r="J33" s="203"/>
      <c r="K33" s="202"/>
      <c r="L33" s="182"/>
      <c r="M33" s="182"/>
      <c r="N33" s="182"/>
      <c r="O33" s="182"/>
      <c r="P33" s="182"/>
      <c r="Q33" s="182"/>
      <c r="R33" s="182"/>
      <c r="S33" s="182"/>
      <c r="T33" s="182"/>
      <c r="U33" s="182"/>
      <c r="V33" s="182"/>
      <c r="W33" s="182"/>
      <c r="X33" s="182"/>
      <c r="Y33" s="182"/>
      <c r="Z33" s="182"/>
    </row>
    <row r="34" ht="1.5" customHeight="1">
      <c r="A34" s="92"/>
      <c r="B34" s="205"/>
      <c r="C34" s="21"/>
      <c r="D34" s="21"/>
      <c r="E34" s="21"/>
      <c r="F34" s="21"/>
      <c r="G34" s="21"/>
      <c r="H34" s="21"/>
      <c r="I34" s="21"/>
      <c r="J34" s="204"/>
      <c r="K34" s="202"/>
      <c r="L34" s="182"/>
      <c r="M34" s="182"/>
      <c r="N34" s="182"/>
      <c r="O34" s="182"/>
      <c r="P34" s="182"/>
      <c r="Q34" s="182"/>
      <c r="R34" s="182"/>
      <c r="S34" s="182"/>
      <c r="T34" s="182"/>
      <c r="U34" s="182"/>
      <c r="V34" s="182"/>
      <c r="W34" s="182"/>
      <c r="X34" s="182"/>
      <c r="Y34" s="182"/>
      <c r="Z34" s="182"/>
    </row>
    <row r="35">
      <c r="A35" s="186" t="s">
        <v>333</v>
      </c>
      <c r="B35" s="199" t="s">
        <v>334</v>
      </c>
      <c r="C35" s="199" t="s">
        <v>335</v>
      </c>
      <c r="D35" s="199" t="s">
        <v>336</v>
      </c>
      <c r="E35" s="199" t="s">
        <v>337</v>
      </c>
      <c r="F35" s="199" t="s">
        <v>338</v>
      </c>
      <c r="G35" s="199" t="s">
        <v>339</v>
      </c>
      <c r="H35" s="199" t="s">
        <v>325</v>
      </c>
      <c r="I35" s="199" t="s">
        <v>168</v>
      </c>
      <c r="J35" s="201"/>
      <c r="K35" s="202"/>
      <c r="L35" s="182"/>
      <c r="M35" s="182"/>
      <c r="N35" s="182"/>
      <c r="O35" s="182"/>
      <c r="P35" s="182"/>
      <c r="Q35" s="182"/>
      <c r="R35" s="182"/>
      <c r="S35" s="182"/>
      <c r="T35" s="182"/>
      <c r="U35" s="182"/>
      <c r="V35" s="182"/>
      <c r="W35" s="182"/>
      <c r="X35" s="182"/>
      <c r="Y35" s="182"/>
      <c r="Z35" s="182"/>
    </row>
    <row r="36" ht="34.5" customHeight="1">
      <c r="A36" s="92"/>
      <c r="B36" s="92"/>
      <c r="C36" s="92"/>
      <c r="D36" s="92"/>
      <c r="E36" s="92"/>
      <c r="F36" s="92"/>
      <c r="G36" s="92"/>
      <c r="H36" s="92"/>
      <c r="I36" s="92"/>
      <c r="J36" s="203"/>
      <c r="K36" s="202"/>
      <c r="L36" s="182"/>
      <c r="M36" s="182"/>
      <c r="N36" s="182"/>
      <c r="O36" s="182"/>
      <c r="P36" s="182"/>
      <c r="Q36" s="182"/>
      <c r="R36" s="182"/>
      <c r="S36" s="182"/>
      <c r="T36" s="182"/>
      <c r="U36" s="182"/>
      <c r="V36" s="182"/>
      <c r="W36" s="182"/>
      <c r="X36" s="182"/>
      <c r="Y36" s="182"/>
      <c r="Z36" s="182"/>
    </row>
    <row r="37">
      <c r="A37" s="92"/>
      <c r="B37" s="92"/>
      <c r="C37" s="92"/>
      <c r="D37" s="92"/>
      <c r="E37" s="92"/>
      <c r="F37" s="92"/>
      <c r="G37" s="92"/>
      <c r="H37" s="92"/>
      <c r="I37" s="92"/>
      <c r="J37" s="203"/>
      <c r="K37" s="202"/>
      <c r="L37" s="182"/>
      <c r="M37" s="182"/>
      <c r="N37" s="182"/>
      <c r="O37" s="182"/>
      <c r="P37" s="182"/>
      <c r="Q37" s="182"/>
      <c r="R37" s="182"/>
      <c r="S37" s="182"/>
      <c r="T37" s="182"/>
      <c r="U37" s="182"/>
      <c r="V37" s="182"/>
      <c r="W37" s="182"/>
      <c r="X37" s="182"/>
      <c r="Y37" s="182"/>
      <c r="Z37" s="182"/>
    </row>
    <row r="38" ht="34.5" customHeight="1">
      <c r="A38" s="92"/>
      <c r="B38" s="92"/>
      <c r="C38" s="92"/>
      <c r="D38" s="92"/>
      <c r="E38" s="92"/>
      <c r="F38" s="92"/>
      <c r="G38" s="92"/>
      <c r="H38" s="92"/>
      <c r="I38" s="92"/>
      <c r="J38" s="203"/>
      <c r="K38" s="202"/>
      <c r="L38" s="182"/>
      <c r="M38" s="182"/>
      <c r="N38" s="182"/>
      <c r="O38" s="182"/>
      <c r="P38" s="182"/>
      <c r="Q38" s="182"/>
      <c r="R38" s="182"/>
      <c r="S38" s="182"/>
      <c r="T38" s="182"/>
      <c r="U38" s="182"/>
      <c r="V38" s="182"/>
      <c r="W38" s="182"/>
      <c r="X38" s="182"/>
      <c r="Y38" s="182"/>
      <c r="Z38" s="182"/>
    </row>
    <row r="39">
      <c r="A39" s="92"/>
      <c r="B39" s="92"/>
      <c r="C39" s="92"/>
      <c r="D39" s="92"/>
      <c r="E39" s="92"/>
      <c r="F39" s="92"/>
      <c r="G39" s="92"/>
      <c r="H39" s="92"/>
      <c r="I39" s="92"/>
      <c r="J39" s="203"/>
      <c r="K39" s="202"/>
      <c r="L39" s="182"/>
      <c r="M39" s="182"/>
      <c r="N39" s="182"/>
      <c r="O39" s="182"/>
      <c r="P39" s="182"/>
      <c r="Q39" s="182"/>
      <c r="R39" s="182"/>
      <c r="S39" s="182"/>
      <c r="T39" s="182"/>
      <c r="U39" s="182"/>
      <c r="V39" s="182"/>
      <c r="W39" s="182"/>
      <c r="X39" s="182"/>
      <c r="Y39" s="182"/>
      <c r="Z39" s="182"/>
    </row>
    <row r="40" ht="54.0" customHeight="1">
      <c r="A40" s="21"/>
      <c r="B40" s="92"/>
      <c r="C40" s="21"/>
      <c r="D40" s="21"/>
      <c r="E40" s="21"/>
      <c r="F40" s="21"/>
      <c r="G40" s="21"/>
      <c r="H40" s="21"/>
      <c r="I40" s="21"/>
      <c r="J40" s="204"/>
      <c r="K40" s="202"/>
      <c r="L40" s="182"/>
      <c r="M40" s="182"/>
      <c r="N40" s="182"/>
      <c r="O40" s="182"/>
      <c r="P40" s="182"/>
      <c r="Q40" s="182"/>
      <c r="R40" s="182"/>
      <c r="S40" s="182"/>
      <c r="T40" s="182"/>
      <c r="U40" s="182"/>
      <c r="V40" s="182"/>
      <c r="W40" s="182"/>
      <c r="X40" s="182"/>
      <c r="Y40" s="182"/>
      <c r="Z40" s="182"/>
    </row>
    <row r="41">
      <c r="A41" s="186" t="s">
        <v>340</v>
      </c>
      <c r="B41" s="92"/>
      <c r="C41" s="199" t="s">
        <v>341</v>
      </c>
      <c r="D41" s="199" t="s">
        <v>342</v>
      </c>
      <c r="E41" s="199" t="s">
        <v>343</v>
      </c>
      <c r="F41" s="199" t="s">
        <v>344</v>
      </c>
      <c r="G41" s="199" t="s">
        <v>339</v>
      </c>
      <c r="H41" s="199" t="s">
        <v>325</v>
      </c>
      <c r="I41" s="199" t="s">
        <v>168</v>
      </c>
      <c r="J41" s="201"/>
      <c r="K41" s="202"/>
      <c r="L41" s="182"/>
      <c r="M41" s="182"/>
      <c r="N41" s="182"/>
      <c r="O41" s="182"/>
      <c r="P41" s="182"/>
      <c r="Q41" s="182"/>
      <c r="R41" s="182"/>
      <c r="S41" s="182"/>
      <c r="T41" s="182"/>
      <c r="U41" s="182"/>
      <c r="V41" s="182"/>
      <c r="W41" s="182"/>
      <c r="X41" s="182"/>
      <c r="Y41" s="182"/>
      <c r="Z41" s="182"/>
    </row>
    <row r="42" ht="34.5" customHeight="1">
      <c r="A42" s="92"/>
      <c r="B42" s="92"/>
      <c r="C42" s="92"/>
      <c r="D42" s="92"/>
      <c r="E42" s="92"/>
      <c r="F42" s="92"/>
      <c r="G42" s="92"/>
      <c r="H42" s="92"/>
      <c r="I42" s="92"/>
      <c r="J42" s="203"/>
      <c r="K42" s="202"/>
      <c r="L42" s="182"/>
      <c r="M42" s="182"/>
      <c r="N42" s="182"/>
      <c r="O42" s="182"/>
      <c r="P42" s="182"/>
      <c r="Q42" s="182"/>
      <c r="R42" s="182"/>
      <c r="S42" s="182"/>
      <c r="T42" s="182"/>
      <c r="U42" s="182"/>
      <c r="V42" s="182"/>
      <c r="W42" s="182"/>
      <c r="X42" s="182"/>
      <c r="Y42" s="182"/>
      <c r="Z42" s="182"/>
    </row>
    <row r="43">
      <c r="A43" s="92"/>
      <c r="B43" s="92"/>
      <c r="C43" s="92"/>
      <c r="D43" s="92"/>
      <c r="E43" s="92"/>
      <c r="F43" s="92"/>
      <c r="G43" s="92"/>
      <c r="H43" s="92"/>
      <c r="I43" s="92"/>
      <c r="J43" s="203"/>
      <c r="K43" s="202"/>
      <c r="L43" s="182"/>
      <c r="M43" s="182"/>
      <c r="N43" s="182"/>
      <c r="O43" s="182"/>
      <c r="P43" s="182"/>
      <c r="Q43" s="182"/>
      <c r="R43" s="182"/>
      <c r="S43" s="182"/>
      <c r="T43" s="182"/>
      <c r="U43" s="182"/>
      <c r="V43" s="182"/>
      <c r="W43" s="182"/>
      <c r="X43" s="182"/>
      <c r="Y43" s="182"/>
      <c r="Z43" s="182"/>
    </row>
    <row r="44">
      <c r="A44" s="92"/>
      <c r="B44" s="92"/>
      <c r="C44" s="92"/>
      <c r="D44" s="92"/>
      <c r="E44" s="92"/>
      <c r="F44" s="92"/>
      <c r="G44" s="92"/>
      <c r="H44" s="92"/>
      <c r="I44" s="92"/>
      <c r="J44" s="203"/>
      <c r="K44" s="202"/>
      <c r="L44" s="182"/>
      <c r="M44" s="182"/>
      <c r="N44" s="182"/>
      <c r="O44" s="182"/>
      <c r="P44" s="182"/>
      <c r="Q44" s="182"/>
      <c r="R44" s="182"/>
      <c r="S44" s="182"/>
      <c r="T44" s="182"/>
      <c r="U44" s="182"/>
      <c r="V44" s="182"/>
      <c r="W44" s="182"/>
      <c r="X44" s="182"/>
      <c r="Y44" s="182"/>
      <c r="Z44" s="182"/>
    </row>
    <row r="45">
      <c r="A45" s="92"/>
      <c r="B45" s="92"/>
      <c r="C45" s="92"/>
      <c r="D45" s="92"/>
      <c r="E45" s="92"/>
      <c r="F45" s="92"/>
      <c r="G45" s="92"/>
      <c r="H45" s="92"/>
      <c r="I45" s="92"/>
      <c r="J45" s="203"/>
      <c r="K45" s="202"/>
      <c r="L45" s="182"/>
      <c r="M45" s="182"/>
      <c r="N45" s="182"/>
      <c r="O45" s="182"/>
      <c r="P45" s="182"/>
      <c r="Q45" s="182"/>
      <c r="R45" s="182"/>
      <c r="S45" s="182"/>
      <c r="T45" s="182"/>
      <c r="U45" s="182"/>
      <c r="V45" s="182"/>
      <c r="W45" s="182"/>
      <c r="X45" s="182"/>
      <c r="Y45" s="182"/>
      <c r="Z45" s="182"/>
    </row>
    <row r="46" ht="66.75" customHeight="1">
      <c r="A46" s="21"/>
      <c r="B46" s="21"/>
      <c r="C46" s="21"/>
      <c r="D46" s="21"/>
      <c r="E46" s="21"/>
      <c r="F46" s="21"/>
      <c r="G46" s="21"/>
      <c r="H46" s="21"/>
      <c r="I46" s="21"/>
      <c r="J46" s="204"/>
      <c r="K46" s="202"/>
      <c r="L46" s="182"/>
      <c r="M46" s="182"/>
      <c r="N46" s="182"/>
      <c r="O46" s="182"/>
      <c r="P46" s="182"/>
      <c r="Q46" s="182"/>
      <c r="R46" s="182"/>
      <c r="S46" s="182"/>
      <c r="T46" s="182"/>
      <c r="U46" s="182"/>
      <c r="V46" s="182"/>
      <c r="W46" s="182"/>
      <c r="X46" s="182"/>
      <c r="Y46" s="182"/>
      <c r="Z46" s="182"/>
    </row>
    <row r="47">
      <c r="A47" s="206"/>
      <c r="B47" s="207" t="s">
        <v>345</v>
      </c>
      <c r="C47" s="206"/>
      <c r="D47" s="197"/>
      <c r="E47" s="197"/>
      <c r="F47" s="197"/>
      <c r="G47" s="197"/>
      <c r="H47" s="197"/>
      <c r="I47" s="197"/>
      <c r="J47" s="197"/>
      <c r="K47" s="197"/>
      <c r="L47" s="182"/>
      <c r="M47" s="182"/>
      <c r="N47" s="182"/>
      <c r="O47" s="182"/>
      <c r="P47" s="182"/>
      <c r="Q47" s="182"/>
      <c r="R47" s="182"/>
      <c r="S47" s="182"/>
      <c r="T47" s="182"/>
      <c r="U47" s="182"/>
      <c r="V47" s="182"/>
      <c r="W47" s="182"/>
      <c r="X47" s="182"/>
      <c r="Y47" s="182"/>
      <c r="Z47" s="182"/>
    </row>
    <row r="48" ht="30.75" customHeight="1">
      <c r="A48" s="186" t="s">
        <v>346</v>
      </c>
      <c r="B48" s="199" t="s">
        <v>347</v>
      </c>
      <c r="C48" s="199" t="s">
        <v>348</v>
      </c>
      <c r="D48" s="199" t="s">
        <v>349</v>
      </c>
      <c r="E48" s="199" t="s">
        <v>350</v>
      </c>
      <c r="F48" s="199" t="s">
        <v>351</v>
      </c>
      <c r="G48" s="199" t="s">
        <v>351</v>
      </c>
      <c r="H48" s="199" t="s">
        <v>317</v>
      </c>
      <c r="I48" s="199" t="s">
        <v>168</v>
      </c>
      <c r="J48" s="201"/>
      <c r="K48" s="202"/>
      <c r="L48" s="182"/>
      <c r="M48" s="182"/>
      <c r="N48" s="182"/>
      <c r="O48" s="182"/>
      <c r="P48" s="182"/>
      <c r="Q48" s="182"/>
      <c r="R48" s="182"/>
      <c r="S48" s="182"/>
      <c r="T48" s="182"/>
      <c r="U48" s="182"/>
      <c r="V48" s="182"/>
      <c r="W48" s="182"/>
      <c r="X48" s="182"/>
      <c r="Y48" s="182"/>
      <c r="Z48" s="182"/>
    </row>
    <row r="49">
      <c r="A49" s="92"/>
      <c r="B49" s="92"/>
      <c r="C49" s="92"/>
      <c r="D49" s="92"/>
      <c r="E49" s="92"/>
      <c r="F49" s="92"/>
      <c r="G49" s="92"/>
      <c r="H49" s="92"/>
      <c r="I49" s="92"/>
      <c r="J49" s="203"/>
      <c r="K49" s="202"/>
      <c r="L49" s="182"/>
      <c r="M49" s="182"/>
      <c r="N49" s="182"/>
      <c r="O49" s="182"/>
      <c r="P49" s="182"/>
      <c r="Q49" s="182"/>
      <c r="R49" s="182"/>
      <c r="S49" s="182"/>
      <c r="T49" s="182"/>
      <c r="U49" s="182"/>
      <c r="V49" s="182"/>
      <c r="W49" s="182"/>
      <c r="X49" s="182"/>
      <c r="Y49" s="182"/>
      <c r="Z49" s="182"/>
    </row>
    <row r="50">
      <c r="A50" s="92"/>
      <c r="B50" s="92"/>
      <c r="C50" s="92"/>
      <c r="D50" s="92"/>
      <c r="E50" s="92"/>
      <c r="F50" s="92"/>
      <c r="G50" s="92"/>
      <c r="H50" s="92"/>
      <c r="I50" s="92"/>
      <c r="J50" s="203"/>
      <c r="K50" s="202"/>
      <c r="L50" s="182"/>
      <c r="M50" s="182"/>
      <c r="N50" s="182"/>
      <c r="O50" s="182"/>
      <c r="P50" s="182"/>
      <c r="Q50" s="182"/>
      <c r="R50" s="182"/>
      <c r="S50" s="182"/>
      <c r="T50" s="182"/>
      <c r="U50" s="182"/>
      <c r="V50" s="182"/>
      <c r="W50" s="182"/>
      <c r="X50" s="182"/>
      <c r="Y50" s="182"/>
      <c r="Z50" s="182"/>
    </row>
    <row r="51">
      <c r="A51" s="92"/>
      <c r="B51" s="92"/>
      <c r="C51" s="92"/>
      <c r="D51" s="92"/>
      <c r="E51" s="92"/>
      <c r="F51" s="92"/>
      <c r="G51" s="92"/>
      <c r="H51" s="92"/>
      <c r="I51" s="92"/>
      <c r="J51" s="203"/>
      <c r="K51" s="202"/>
      <c r="L51" s="182"/>
      <c r="M51" s="182"/>
      <c r="N51" s="182"/>
      <c r="O51" s="182"/>
      <c r="P51" s="182"/>
      <c r="Q51" s="182"/>
      <c r="R51" s="182"/>
      <c r="S51" s="182"/>
      <c r="T51" s="182"/>
      <c r="U51" s="182"/>
      <c r="V51" s="182"/>
      <c r="W51" s="182"/>
      <c r="X51" s="182"/>
      <c r="Y51" s="182"/>
      <c r="Z51" s="182"/>
    </row>
    <row r="52">
      <c r="A52" s="21"/>
      <c r="B52" s="92"/>
      <c r="C52" s="21"/>
      <c r="D52" s="21"/>
      <c r="E52" s="21"/>
      <c r="F52" s="21"/>
      <c r="G52" s="21"/>
      <c r="H52" s="21"/>
      <c r="I52" s="21"/>
      <c r="J52" s="204"/>
      <c r="K52" s="202"/>
      <c r="L52" s="182"/>
      <c r="M52" s="182"/>
      <c r="N52" s="182"/>
      <c r="O52" s="182"/>
      <c r="P52" s="182"/>
      <c r="Q52" s="182"/>
      <c r="R52" s="182"/>
      <c r="S52" s="182"/>
      <c r="T52" s="182"/>
      <c r="U52" s="182"/>
      <c r="V52" s="182"/>
      <c r="W52" s="182"/>
      <c r="X52" s="182"/>
      <c r="Y52" s="182"/>
      <c r="Z52" s="182"/>
    </row>
    <row r="53">
      <c r="A53" s="186" t="s">
        <v>352</v>
      </c>
      <c r="B53" s="92"/>
      <c r="C53" s="199" t="s">
        <v>353</v>
      </c>
      <c r="D53" s="199" t="s">
        <v>354</v>
      </c>
      <c r="E53" s="199" t="s">
        <v>355</v>
      </c>
      <c r="F53" s="199" t="s">
        <v>356</v>
      </c>
      <c r="G53" s="199" t="s">
        <v>357</v>
      </c>
      <c r="H53" s="199" t="s">
        <v>317</v>
      </c>
      <c r="I53" s="199" t="s">
        <v>168</v>
      </c>
      <c r="J53" s="201"/>
      <c r="K53" s="202"/>
      <c r="L53" s="182"/>
      <c r="M53" s="182"/>
      <c r="N53" s="182"/>
      <c r="O53" s="182"/>
      <c r="P53" s="182"/>
      <c r="Q53" s="182"/>
      <c r="R53" s="182"/>
      <c r="S53" s="182"/>
      <c r="T53" s="182"/>
      <c r="U53" s="182"/>
      <c r="V53" s="182"/>
      <c r="W53" s="182"/>
      <c r="X53" s="182"/>
      <c r="Y53" s="182"/>
      <c r="Z53" s="182"/>
    </row>
    <row r="54">
      <c r="A54" s="92"/>
      <c r="B54" s="92"/>
      <c r="C54" s="92"/>
      <c r="D54" s="92"/>
      <c r="E54" s="92"/>
      <c r="F54" s="92"/>
      <c r="G54" s="92"/>
      <c r="H54" s="92"/>
      <c r="I54" s="92"/>
      <c r="J54" s="203"/>
      <c r="K54" s="202"/>
      <c r="L54" s="182"/>
      <c r="M54" s="182"/>
      <c r="N54" s="182"/>
      <c r="O54" s="182"/>
      <c r="P54" s="182"/>
      <c r="Q54" s="182"/>
      <c r="R54" s="182"/>
      <c r="S54" s="182"/>
      <c r="T54" s="182"/>
      <c r="U54" s="182"/>
      <c r="V54" s="182"/>
      <c r="W54" s="182"/>
      <c r="X54" s="182"/>
      <c r="Y54" s="182"/>
      <c r="Z54" s="182"/>
    </row>
    <row r="55">
      <c r="A55" s="92"/>
      <c r="B55" s="92"/>
      <c r="C55" s="92"/>
      <c r="D55" s="92"/>
      <c r="E55" s="92"/>
      <c r="F55" s="92"/>
      <c r="G55" s="92"/>
      <c r="H55" s="92"/>
      <c r="I55" s="92"/>
      <c r="J55" s="203"/>
      <c r="K55" s="202"/>
      <c r="L55" s="182"/>
      <c r="M55" s="182"/>
      <c r="N55" s="182"/>
      <c r="O55" s="182"/>
      <c r="P55" s="182"/>
      <c r="Q55" s="182"/>
      <c r="R55" s="182"/>
      <c r="S55" s="182"/>
      <c r="T55" s="182"/>
      <c r="U55" s="182"/>
      <c r="V55" s="182"/>
      <c r="W55" s="182"/>
      <c r="X55" s="182"/>
      <c r="Y55" s="182"/>
      <c r="Z55" s="182"/>
    </row>
    <row r="56">
      <c r="A56" s="92"/>
      <c r="B56" s="92"/>
      <c r="C56" s="92"/>
      <c r="D56" s="92"/>
      <c r="E56" s="92"/>
      <c r="F56" s="92"/>
      <c r="G56" s="92"/>
      <c r="H56" s="92"/>
      <c r="I56" s="92"/>
      <c r="J56" s="203"/>
      <c r="K56" s="202"/>
      <c r="L56" s="182"/>
      <c r="M56" s="182"/>
      <c r="N56" s="182"/>
      <c r="O56" s="182"/>
      <c r="P56" s="182"/>
      <c r="Q56" s="182"/>
      <c r="R56" s="182"/>
      <c r="S56" s="182"/>
      <c r="T56" s="182"/>
      <c r="U56" s="182"/>
      <c r="V56" s="182"/>
      <c r="W56" s="182"/>
      <c r="X56" s="182"/>
      <c r="Y56" s="182"/>
      <c r="Z56" s="182"/>
    </row>
    <row r="57" ht="33.0" customHeight="1">
      <c r="A57" s="92"/>
      <c r="B57" s="92"/>
      <c r="C57" s="92"/>
      <c r="D57" s="92"/>
      <c r="E57" s="92"/>
      <c r="F57" s="92"/>
      <c r="G57" s="92"/>
      <c r="H57" s="92"/>
      <c r="I57" s="92"/>
      <c r="J57" s="203"/>
      <c r="K57" s="202"/>
      <c r="L57" s="182"/>
      <c r="M57" s="182"/>
      <c r="N57" s="182"/>
      <c r="O57" s="182"/>
      <c r="P57" s="182"/>
      <c r="Q57" s="182"/>
      <c r="R57" s="182"/>
      <c r="S57" s="182"/>
      <c r="T57" s="182"/>
      <c r="U57" s="182"/>
      <c r="V57" s="182"/>
      <c r="W57" s="182"/>
      <c r="X57" s="182"/>
      <c r="Y57" s="182"/>
      <c r="Z57" s="182"/>
    </row>
    <row r="58" ht="3.0" customHeight="1">
      <c r="A58" s="21"/>
      <c r="B58" s="92"/>
      <c r="C58" s="21"/>
      <c r="D58" s="21"/>
      <c r="E58" s="21"/>
      <c r="F58" s="21"/>
      <c r="G58" s="21"/>
      <c r="H58" s="21"/>
      <c r="I58" s="21"/>
      <c r="J58" s="204"/>
      <c r="K58" s="202"/>
      <c r="L58" s="182"/>
      <c r="M58" s="182"/>
      <c r="N58" s="182"/>
      <c r="O58" s="182"/>
      <c r="P58" s="182"/>
      <c r="Q58" s="182"/>
      <c r="R58" s="182"/>
      <c r="S58" s="182"/>
      <c r="T58" s="182"/>
      <c r="U58" s="182"/>
      <c r="V58" s="182"/>
      <c r="W58" s="182"/>
      <c r="X58" s="182"/>
      <c r="Y58" s="182"/>
      <c r="Z58" s="182"/>
    </row>
    <row r="59" ht="27.0" customHeight="1">
      <c r="A59" s="186" t="s">
        <v>358</v>
      </c>
      <c r="B59" s="92"/>
      <c r="C59" s="199" t="s">
        <v>359</v>
      </c>
      <c r="D59" s="199" t="s">
        <v>360</v>
      </c>
      <c r="E59" s="199" t="s">
        <v>361</v>
      </c>
      <c r="F59" s="208" t="s">
        <v>362</v>
      </c>
      <c r="G59" s="199" t="s">
        <v>363</v>
      </c>
      <c r="H59" s="199" t="s">
        <v>317</v>
      </c>
      <c r="I59" s="199" t="s">
        <v>168</v>
      </c>
      <c r="J59" s="201"/>
      <c r="K59" s="202"/>
      <c r="L59" s="182"/>
      <c r="M59" s="182"/>
      <c r="N59" s="182"/>
      <c r="O59" s="182"/>
      <c r="P59" s="182"/>
      <c r="Q59" s="182"/>
      <c r="R59" s="182"/>
      <c r="S59" s="182"/>
      <c r="T59" s="182"/>
      <c r="U59" s="182"/>
      <c r="V59" s="182"/>
      <c r="W59" s="182"/>
      <c r="X59" s="182"/>
      <c r="Y59" s="182"/>
      <c r="Z59" s="182"/>
    </row>
    <row r="60">
      <c r="A60" s="92"/>
      <c r="B60" s="92"/>
      <c r="C60" s="92"/>
      <c r="D60" s="92"/>
      <c r="E60" s="92"/>
      <c r="F60" s="92"/>
      <c r="G60" s="92"/>
      <c r="H60" s="92"/>
      <c r="I60" s="92"/>
      <c r="J60" s="203"/>
      <c r="K60" s="202"/>
      <c r="L60" s="182"/>
      <c r="M60" s="182"/>
      <c r="N60" s="182"/>
      <c r="O60" s="182"/>
      <c r="P60" s="182"/>
      <c r="Q60" s="182"/>
      <c r="R60" s="182"/>
      <c r="S60" s="182"/>
      <c r="T60" s="182"/>
      <c r="U60" s="182"/>
      <c r="V60" s="182"/>
      <c r="W60" s="182"/>
      <c r="X60" s="182"/>
      <c r="Y60" s="182"/>
      <c r="Z60" s="182"/>
    </row>
    <row r="61">
      <c r="A61" s="92"/>
      <c r="B61" s="92"/>
      <c r="C61" s="92"/>
      <c r="D61" s="92"/>
      <c r="E61" s="92"/>
      <c r="F61" s="92"/>
      <c r="G61" s="92"/>
      <c r="H61" s="92"/>
      <c r="I61" s="92"/>
      <c r="J61" s="203"/>
      <c r="K61" s="202"/>
      <c r="L61" s="182"/>
      <c r="M61" s="182"/>
      <c r="N61" s="182"/>
      <c r="O61" s="182"/>
      <c r="P61" s="182"/>
      <c r="Q61" s="182"/>
      <c r="R61" s="182"/>
      <c r="S61" s="182"/>
      <c r="T61" s="182"/>
      <c r="U61" s="182"/>
      <c r="V61" s="182"/>
      <c r="W61" s="182"/>
      <c r="X61" s="182"/>
      <c r="Y61" s="182"/>
      <c r="Z61" s="182"/>
    </row>
    <row r="62">
      <c r="A62" s="92"/>
      <c r="B62" s="92"/>
      <c r="C62" s="92"/>
      <c r="D62" s="92"/>
      <c r="E62" s="92"/>
      <c r="F62" s="92"/>
      <c r="G62" s="92"/>
      <c r="H62" s="92"/>
      <c r="I62" s="92"/>
      <c r="J62" s="203"/>
      <c r="K62" s="202"/>
      <c r="L62" s="182"/>
      <c r="M62" s="182"/>
      <c r="N62" s="182"/>
      <c r="O62" s="182"/>
      <c r="P62" s="182"/>
      <c r="Q62" s="182"/>
      <c r="R62" s="182"/>
      <c r="S62" s="182"/>
      <c r="T62" s="182"/>
      <c r="U62" s="182"/>
      <c r="V62" s="182"/>
      <c r="W62" s="182"/>
      <c r="X62" s="182"/>
      <c r="Y62" s="182"/>
      <c r="Z62" s="182"/>
    </row>
    <row r="63">
      <c r="A63" s="92"/>
      <c r="B63" s="92"/>
      <c r="C63" s="92"/>
      <c r="D63" s="92"/>
      <c r="E63" s="92"/>
      <c r="F63" s="92"/>
      <c r="G63" s="92"/>
      <c r="H63" s="92"/>
      <c r="I63" s="92"/>
      <c r="J63" s="203"/>
      <c r="K63" s="202"/>
      <c r="L63" s="182"/>
      <c r="M63" s="182"/>
      <c r="N63" s="182"/>
      <c r="O63" s="182"/>
      <c r="P63" s="182"/>
      <c r="Q63" s="182"/>
      <c r="R63" s="182"/>
      <c r="S63" s="182"/>
      <c r="T63" s="182"/>
      <c r="U63" s="182"/>
      <c r="V63" s="182"/>
      <c r="W63" s="182"/>
      <c r="X63" s="182"/>
      <c r="Y63" s="182"/>
      <c r="Z63" s="182"/>
    </row>
    <row r="64">
      <c r="A64" s="92"/>
      <c r="B64" s="92"/>
      <c r="C64" s="92"/>
      <c r="D64" s="92"/>
      <c r="E64" s="92"/>
      <c r="F64" s="92"/>
      <c r="G64" s="92"/>
      <c r="H64" s="92"/>
      <c r="I64" s="92"/>
      <c r="J64" s="203"/>
      <c r="K64" s="202"/>
      <c r="L64" s="182"/>
      <c r="M64" s="182"/>
      <c r="N64" s="182"/>
      <c r="O64" s="182"/>
      <c r="P64" s="182"/>
      <c r="Q64" s="182"/>
      <c r="R64" s="182"/>
      <c r="S64" s="182"/>
      <c r="T64" s="182"/>
      <c r="U64" s="182"/>
      <c r="V64" s="182"/>
      <c r="W64" s="182"/>
      <c r="X64" s="182"/>
      <c r="Y64" s="182"/>
      <c r="Z64" s="182"/>
    </row>
    <row r="65">
      <c r="A65" s="92"/>
      <c r="B65" s="92"/>
      <c r="C65" s="92"/>
      <c r="D65" s="92"/>
      <c r="E65" s="92"/>
      <c r="F65" s="92"/>
      <c r="G65" s="92"/>
      <c r="H65" s="92"/>
      <c r="I65" s="92"/>
      <c r="J65" s="203"/>
      <c r="K65" s="202"/>
      <c r="L65" s="182"/>
      <c r="M65" s="182"/>
      <c r="N65" s="182"/>
      <c r="O65" s="182"/>
      <c r="P65" s="182"/>
      <c r="Q65" s="182"/>
      <c r="R65" s="182"/>
      <c r="S65" s="182"/>
      <c r="T65" s="182"/>
      <c r="U65" s="182"/>
      <c r="V65" s="182"/>
      <c r="W65" s="182"/>
      <c r="X65" s="182"/>
      <c r="Y65" s="182"/>
      <c r="Z65" s="182"/>
    </row>
    <row r="66">
      <c r="A66" s="21"/>
      <c r="B66" s="92"/>
      <c r="C66" s="21"/>
      <c r="D66" s="21"/>
      <c r="E66" s="21"/>
      <c r="F66" s="21"/>
      <c r="G66" s="21"/>
      <c r="H66" s="21"/>
      <c r="I66" s="21"/>
      <c r="J66" s="204"/>
      <c r="K66" s="202"/>
      <c r="L66" s="182"/>
      <c r="M66" s="182"/>
      <c r="N66" s="182"/>
      <c r="O66" s="182"/>
      <c r="P66" s="182"/>
      <c r="Q66" s="182"/>
      <c r="R66" s="182"/>
      <c r="S66" s="182"/>
      <c r="T66" s="182"/>
      <c r="U66" s="182"/>
      <c r="V66" s="182"/>
      <c r="W66" s="182"/>
      <c r="X66" s="182"/>
      <c r="Y66" s="182"/>
      <c r="Z66" s="182"/>
    </row>
    <row r="67">
      <c r="A67" s="186" t="s">
        <v>364</v>
      </c>
      <c r="B67" s="92"/>
      <c r="C67" s="199" t="s">
        <v>365</v>
      </c>
      <c r="D67" s="199" t="s">
        <v>366</v>
      </c>
      <c r="E67" s="199" t="s">
        <v>367</v>
      </c>
      <c r="F67" s="199" t="s">
        <v>368</v>
      </c>
      <c r="G67" s="199" t="s">
        <v>369</v>
      </c>
      <c r="H67" s="199" t="s">
        <v>317</v>
      </c>
      <c r="I67" s="199" t="s">
        <v>168</v>
      </c>
      <c r="J67" s="201"/>
      <c r="K67" s="202"/>
      <c r="L67" s="182"/>
      <c r="M67" s="182"/>
      <c r="N67" s="182"/>
      <c r="O67" s="182"/>
      <c r="P67" s="182"/>
      <c r="Q67" s="182"/>
      <c r="R67" s="182"/>
      <c r="S67" s="182"/>
      <c r="T67" s="182"/>
      <c r="U67" s="182"/>
      <c r="V67" s="182"/>
      <c r="W67" s="182"/>
      <c r="X67" s="182"/>
      <c r="Y67" s="182"/>
      <c r="Z67" s="182"/>
    </row>
    <row r="68">
      <c r="A68" s="92"/>
      <c r="B68" s="92"/>
      <c r="C68" s="92"/>
      <c r="D68" s="92"/>
      <c r="E68" s="92"/>
      <c r="F68" s="92"/>
      <c r="G68" s="92"/>
      <c r="H68" s="92"/>
      <c r="I68" s="92"/>
      <c r="J68" s="203"/>
      <c r="K68" s="202"/>
      <c r="L68" s="182"/>
      <c r="M68" s="182"/>
      <c r="N68" s="182"/>
      <c r="O68" s="182"/>
      <c r="P68" s="182"/>
      <c r="Q68" s="182"/>
      <c r="R68" s="182"/>
      <c r="S68" s="182"/>
      <c r="T68" s="182"/>
      <c r="U68" s="182"/>
      <c r="V68" s="182"/>
      <c r="W68" s="182"/>
      <c r="X68" s="182"/>
      <c r="Y68" s="182"/>
      <c r="Z68" s="182"/>
    </row>
    <row r="69">
      <c r="A69" s="92"/>
      <c r="B69" s="92"/>
      <c r="C69" s="92"/>
      <c r="D69" s="92"/>
      <c r="E69" s="92"/>
      <c r="F69" s="92"/>
      <c r="G69" s="92"/>
      <c r="H69" s="92"/>
      <c r="I69" s="92"/>
      <c r="J69" s="203"/>
      <c r="K69" s="202"/>
      <c r="L69" s="182"/>
      <c r="M69" s="182"/>
      <c r="N69" s="182"/>
      <c r="O69" s="182"/>
      <c r="P69" s="182"/>
      <c r="Q69" s="182"/>
      <c r="R69" s="182"/>
      <c r="S69" s="182"/>
      <c r="T69" s="182"/>
      <c r="U69" s="182"/>
      <c r="V69" s="182"/>
      <c r="W69" s="182"/>
      <c r="X69" s="182"/>
      <c r="Y69" s="182"/>
      <c r="Z69" s="182"/>
    </row>
    <row r="70">
      <c r="A70" s="92"/>
      <c r="B70" s="92"/>
      <c r="C70" s="92"/>
      <c r="D70" s="92"/>
      <c r="E70" s="92"/>
      <c r="F70" s="92"/>
      <c r="G70" s="92"/>
      <c r="H70" s="92"/>
      <c r="I70" s="92"/>
      <c r="J70" s="203"/>
      <c r="K70" s="202"/>
      <c r="L70" s="182"/>
      <c r="M70" s="182"/>
      <c r="N70" s="182"/>
      <c r="O70" s="182"/>
      <c r="P70" s="182"/>
      <c r="Q70" s="182"/>
      <c r="R70" s="182"/>
      <c r="S70" s="182"/>
      <c r="T70" s="182"/>
      <c r="U70" s="182"/>
      <c r="V70" s="182"/>
      <c r="W70" s="182"/>
      <c r="X70" s="182"/>
      <c r="Y70" s="182"/>
      <c r="Z70" s="182"/>
    </row>
    <row r="71">
      <c r="A71" s="92"/>
      <c r="B71" s="92"/>
      <c r="C71" s="92"/>
      <c r="D71" s="92"/>
      <c r="E71" s="92"/>
      <c r="F71" s="92"/>
      <c r="G71" s="92"/>
      <c r="H71" s="92"/>
      <c r="I71" s="92"/>
      <c r="J71" s="203"/>
      <c r="K71" s="202"/>
      <c r="L71" s="182"/>
      <c r="M71" s="182"/>
      <c r="N71" s="182"/>
      <c r="O71" s="182"/>
      <c r="P71" s="182"/>
      <c r="Q71" s="182"/>
      <c r="R71" s="182"/>
      <c r="S71" s="182"/>
      <c r="T71" s="182"/>
      <c r="U71" s="182"/>
      <c r="V71" s="182"/>
      <c r="W71" s="182"/>
      <c r="X71" s="182"/>
      <c r="Y71" s="182"/>
      <c r="Z71" s="182"/>
    </row>
    <row r="72">
      <c r="A72" s="92"/>
      <c r="B72" s="92"/>
      <c r="C72" s="92"/>
      <c r="D72" s="92"/>
      <c r="E72" s="92"/>
      <c r="F72" s="92"/>
      <c r="G72" s="92"/>
      <c r="H72" s="92"/>
      <c r="I72" s="92"/>
      <c r="J72" s="203"/>
      <c r="K72" s="202"/>
      <c r="L72" s="182"/>
      <c r="M72" s="182"/>
      <c r="N72" s="182"/>
      <c r="O72" s="182"/>
      <c r="P72" s="182"/>
      <c r="Q72" s="182"/>
      <c r="R72" s="182"/>
      <c r="S72" s="182"/>
      <c r="T72" s="182"/>
      <c r="U72" s="182"/>
      <c r="V72" s="182"/>
      <c r="W72" s="182"/>
      <c r="X72" s="182"/>
      <c r="Y72" s="182"/>
      <c r="Z72" s="182"/>
    </row>
    <row r="73">
      <c r="A73" s="21"/>
      <c r="B73" s="92"/>
      <c r="C73" s="21"/>
      <c r="D73" s="21"/>
      <c r="E73" s="21"/>
      <c r="F73" s="21"/>
      <c r="G73" s="21"/>
      <c r="H73" s="21"/>
      <c r="I73" s="21"/>
      <c r="J73" s="204"/>
      <c r="K73" s="202"/>
      <c r="L73" s="182"/>
      <c r="M73" s="182"/>
      <c r="N73" s="182"/>
      <c r="O73" s="182"/>
      <c r="P73" s="182"/>
      <c r="Q73" s="182"/>
      <c r="R73" s="182"/>
      <c r="S73" s="182"/>
      <c r="T73" s="182"/>
      <c r="U73" s="182"/>
      <c r="V73" s="182"/>
      <c r="W73" s="182"/>
      <c r="X73" s="182"/>
      <c r="Y73" s="182"/>
      <c r="Z73" s="182"/>
    </row>
    <row r="74">
      <c r="A74" s="186" t="s">
        <v>370</v>
      </c>
      <c r="B74" s="92"/>
      <c r="C74" s="199" t="s">
        <v>371</v>
      </c>
      <c r="D74" s="199" t="s">
        <v>372</v>
      </c>
      <c r="E74" s="199" t="s">
        <v>373</v>
      </c>
      <c r="F74" s="199" t="s">
        <v>374</v>
      </c>
      <c r="G74" s="199" t="s">
        <v>375</v>
      </c>
      <c r="H74" s="199" t="s">
        <v>317</v>
      </c>
      <c r="I74" s="199" t="s">
        <v>168</v>
      </c>
      <c r="J74" s="201"/>
      <c r="K74" s="202"/>
      <c r="L74" s="182"/>
      <c r="M74" s="182"/>
      <c r="N74" s="182"/>
      <c r="O74" s="182"/>
      <c r="P74" s="182"/>
      <c r="Q74" s="182"/>
      <c r="R74" s="182"/>
      <c r="S74" s="182"/>
      <c r="T74" s="182"/>
      <c r="U74" s="182"/>
      <c r="V74" s="182"/>
      <c r="W74" s="182"/>
      <c r="X74" s="182"/>
      <c r="Y74" s="182"/>
      <c r="Z74" s="182"/>
    </row>
    <row r="75">
      <c r="A75" s="92"/>
      <c r="B75" s="92"/>
      <c r="C75" s="92"/>
      <c r="D75" s="92"/>
      <c r="E75" s="92"/>
      <c r="F75" s="92"/>
      <c r="G75" s="92"/>
      <c r="H75" s="92"/>
      <c r="I75" s="92"/>
      <c r="J75" s="203"/>
      <c r="K75" s="202"/>
      <c r="L75" s="182"/>
      <c r="M75" s="182"/>
      <c r="N75" s="182"/>
      <c r="O75" s="182"/>
      <c r="P75" s="182"/>
      <c r="Q75" s="182"/>
      <c r="R75" s="182"/>
      <c r="S75" s="182"/>
      <c r="T75" s="182"/>
      <c r="U75" s="182"/>
      <c r="V75" s="182"/>
      <c r="W75" s="182"/>
      <c r="X75" s="182"/>
      <c r="Y75" s="182"/>
      <c r="Z75" s="182"/>
    </row>
    <row r="76">
      <c r="A76" s="92"/>
      <c r="B76" s="92"/>
      <c r="C76" s="92"/>
      <c r="D76" s="92"/>
      <c r="E76" s="92"/>
      <c r="F76" s="92"/>
      <c r="G76" s="92"/>
      <c r="H76" s="92"/>
      <c r="I76" s="92"/>
      <c r="J76" s="203"/>
      <c r="K76" s="202"/>
      <c r="L76" s="182"/>
      <c r="M76" s="182"/>
      <c r="N76" s="182"/>
      <c r="O76" s="182"/>
      <c r="P76" s="182"/>
      <c r="Q76" s="182"/>
      <c r="R76" s="182"/>
      <c r="S76" s="182"/>
      <c r="T76" s="182"/>
      <c r="U76" s="182"/>
      <c r="V76" s="182"/>
      <c r="W76" s="182"/>
      <c r="X76" s="182"/>
      <c r="Y76" s="182"/>
      <c r="Z76" s="182"/>
    </row>
    <row r="77">
      <c r="A77" s="92"/>
      <c r="B77" s="92"/>
      <c r="C77" s="92"/>
      <c r="D77" s="92"/>
      <c r="E77" s="92"/>
      <c r="F77" s="92"/>
      <c r="G77" s="92"/>
      <c r="H77" s="92"/>
      <c r="I77" s="92"/>
      <c r="J77" s="203"/>
      <c r="K77" s="202"/>
      <c r="L77" s="182"/>
      <c r="M77" s="182"/>
      <c r="N77" s="182"/>
      <c r="O77" s="182"/>
      <c r="P77" s="182"/>
      <c r="Q77" s="182"/>
      <c r="R77" s="182"/>
      <c r="S77" s="182"/>
      <c r="T77" s="182"/>
      <c r="U77" s="182"/>
      <c r="V77" s="182"/>
      <c r="W77" s="182"/>
      <c r="X77" s="182"/>
      <c r="Y77" s="182"/>
      <c r="Z77" s="182"/>
    </row>
    <row r="78">
      <c r="A78" s="92"/>
      <c r="B78" s="92"/>
      <c r="C78" s="92"/>
      <c r="D78" s="92"/>
      <c r="E78" s="92"/>
      <c r="F78" s="92"/>
      <c r="G78" s="92"/>
      <c r="H78" s="92"/>
      <c r="I78" s="92"/>
      <c r="J78" s="203"/>
      <c r="K78" s="202"/>
      <c r="L78" s="182"/>
      <c r="M78" s="182"/>
      <c r="N78" s="182"/>
      <c r="O78" s="182"/>
      <c r="P78" s="182"/>
      <c r="Q78" s="182"/>
      <c r="R78" s="182"/>
      <c r="S78" s="182"/>
      <c r="T78" s="182"/>
      <c r="U78" s="182"/>
      <c r="V78" s="182"/>
      <c r="W78" s="182"/>
      <c r="X78" s="182"/>
      <c r="Y78" s="182"/>
      <c r="Z78" s="182"/>
    </row>
    <row r="79">
      <c r="A79" s="92"/>
      <c r="B79" s="92"/>
      <c r="C79" s="92"/>
      <c r="D79" s="92"/>
      <c r="E79" s="92"/>
      <c r="F79" s="92"/>
      <c r="G79" s="92"/>
      <c r="H79" s="92"/>
      <c r="I79" s="92"/>
      <c r="J79" s="203"/>
      <c r="K79" s="202"/>
      <c r="L79" s="182"/>
      <c r="M79" s="182"/>
      <c r="N79" s="182"/>
      <c r="O79" s="182"/>
      <c r="P79" s="182"/>
      <c r="Q79" s="182"/>
      <c r="R79" s="182"/>
      <c r="S79" s="182"/>
      <c r="T79" s="182"/>
      <c r="U79" s="182"/>
      <c r="V79" s="182"/>
      <c r="W79" s="182"/>
      <c r="X79" s="182"/>
      <c r="Y79" s="182"/>
      <c r="Z79" s="182"/>
    </row>
    <row r="80">
      <c r="A80" s="92"/>
      <c r="B80" s="92"/>
      <c r="C80" s="92"/>
      <c r="D80" s="92"/>
      <c r="E80" s="92"/>
      <c r="F80" s="92"/>
      <c r="G80" s="92"/>
      <c r="H80" s="92"/>
      <c r="I80" s="92"/>
      <c r="J80" s="203"/>
      <c r="K80" s="202"/>
      <c r="L80" s="182"/>
      <c r="M80" s="182"/>
      <c r="N80" s="182"/>
      <c r="O80" s="182"/>
      <c r="P80" s="182"/>
      <c r="Q80" s="182"/>
      <c r="R80" s="182"/>
      <c r="S80" s="182"/>
      <c r="T80" s="182"/>
      <c r="U80" s="182"/>
      <c r="V80" s="182"/>
      <c r="W80" s="182"/>
      <c r="X80" s="182"/>
      <c r="Y80" s="182"/>
      <c r="Z80" s="182"/>
    </row>
    <row r="81">
      <c r="A81" s="21"/>
      <c r="B81" s="92"/>
      <c r="C81" s="21"/>
      <c r="D81" s="21"/>
      <c r="E81" s="21"/>
      <c r="F81" s="21"/>
      <c r="G81" s="21"/>
      <c r="H81" s="21"/>
      <c r="I81" s="21"/>
      <c r="J81" s="204"/>
      <c r="K81" s="202"/>
      <c r="L81" s="182"/>
      <c r="M81" s="182"/>
      <c r="N81" s="182"/>
      <c r="O81" s="182"/>
      <c r="P81" s="182"/>
      <c r="Q81" s="182"/>
      <c r="R81" s="182"/>
      <c r="S81" s="182"/>
      <c r="T81" s="182"/>
      <c r="U81" s="182"/>
      <c r="V81" s="182"/>
      <c r="W81" s="182"/>
      <c r="X81" s="182"/>
      <c r="Y81" s="182"/>
      <c r="Z81" s="182"/>
    </row>
    <row r="82">
      <c r="A82" s="186" t="s">
        <v>376</v>
      </c>
      <c r="B82" s="92"/>
      <c r="C82" s="199" t="s">
        <v>377</v>
      </c>
      <c r="D82" s="199" t="s">
        <v>378</v>
      </c>
      <c r="E82" s="199" t="s">
        <v>379</v>
      </c>
      <c r="F82" s="199" t="s">
        <v>380</v>
      </c>
      <c r="G82" s="199" t="s">
        <v>381</v>
      </c>
      <c r="H82" s="199" t="s">
        <v>317</v>
      </c>
      <c r="I82" s="199" t="s">
        <v>168</v>
      </c>
      <c r="J82" s="201"/>
      <c r="K82" s="202"/>
      <c r="L82" s="182"/>
      <c r="M82" s="182"/>
      <c r="N82" s="182"/>
      <c r="O82" s="182"/>
      <c r="P82" s="182"/>
      <c r="Q82" s="182"/>
      <c r="R82" s="182"/>
      <c r="S82" s="182"/>
      <c r="T82" s="182"/>
      <c r="U82" s="182"/>
      <c r="V82" s="182"/>
      <c r="W82" s="182"/>
      <c r="X82" s="182"/>
      <c r="Y82" s="182"/>
      <c r="Z82" s="182"/>
    </row>
    <row r="83">
      <c r="A83" s="92"/>
      <c r="B83" s="92"/>
      <c r="C83" s="92"/>
      <c r="D83" s="92"/>
      <c r="E83" s="92"/>
      <c r="F83" s="92"/>
      <c r="G83" s="92"/>
      <c r="H83" s="92"/>
      <c r="I83" s="92"/>
      <c r="J83" s="203"/>
      <c r="K83" s="202"/>
      <c r="L83" s="182"/>
      <c r="M83" s="182"/>
      <c r="N83" s="182"/>
      <c r="O83" s="182"/>
      <c r="P83" s="182"/>
      <c r="Q83" s="182"/>
      <c r="R83" s="182"/>
      <c r="S83" s="182"/>
      <c r="T83" s="182"/>
      <c r="U83" s="182"/>
      <c r="V83" s="182"/>
      <c r="W83" s="182"/>
      <c r="X83" s="182"/>
      <c r="Y83" s="182"/>
      <c r="Z83" s="182"/>
    </row>
    <row r="84">
      <c r="A84" s="92"/>
      <c r="B84" s="92"/>
      <c r="C84" s="92"/>
      <c r="D84" s="92"/>
      <c r="E84" s="92"/>
      <c r="F84" s="92"/>
      <c r="G84" s="92"/>
      <c r="H84" s="92"/>
      <c r="I84" s="92"/>
      <c r="J84" s="203"/>
      <c r="K84" s="202"/>
      <c r="L84" s="182"/>
      <c r="M84" s="182"/>
      <c r="N84" s="182"/>
      <c r="O84" s="182"/>
      <c r="P84" s="182"/>
      <c r="Q84" s="182"/>
      <c r="R84" s="182"/>
      <c r="S84" s="182"/>
      <c r="T84" s="182"/>
      <c r="U84" s="182"/>
      <c r="V84" s="182"/>
      <c r="W84" s="182"/>
      <c r="X84" s="182"/>
      <c r="Y84" s="182"/>
      <c r="Z84" s="182"/>
    </row>
    <row r="85">
      <c r="A85" s="92"/>
      <c r="B85" s="92"/>
      <c r="C85" s="92"/>
      <c r="D85" s="92"/>
      <c r="E85" s="92"/>
      <c r="F85" s="92"/>
      <c r="G85" s="92"/>
      <c r="H85" s="92"/>
      <c r="I85" s="92"/>
      <c r="J85" s="203"/>
      <c r="K85" s="202"/>
      <c r="L85" s="182"/>
      <c r="M85" s="182"/>
      <c r="N85" s="182"/>
      <c r="O85" s="182"/>
      <c r="P85" s="182"/>
      <c r="Q85" s="182"/>
      <c r="R85" s="182"/>
      <c r="S85" s="182"/>
      <c r="T85" s="182"/>
      <c r="U85" s="182"/>
      <c r="V85" s="182"/>
      <c r="W85" s="182"/>
      <c r="X85" s="182"/>
      <c r="Y85" s="182"/>
      <c r="Z85" s="182"/>
    </row>
    <row r="86">
      <c r="A86" s="92"/>
      <c r="B86" s="92"/>
      <c r="C86" s="92"/>
      <c r="D86" s="92"/>
      <c r="E86" s="92"/>
      <c r="F86" s="92"/>
      <c r="G86" s="92"/>
      <c r="H86" s="92"/>
      <c r="I86" s="92"/>
      <c r="J86" s="203"/>
      <c r="K86" s="202"/>
      <c r="L86" s="182"/>
      <c r="M86" s="182"/>
      <c r="N86" s="182"/>
      <c r="O86" s="182"/>
      <c r="P86" s="182"/>
      <c r="Q86" s="182"/>
      <c r="R86" s="182"/>
      <c r="S86" s="182"/>
      <c r="T86" s="182"/>
      <c r="U86" s="182"/>
      <c r="V86" s="182"/>
      <c r="W86" s="182"/>
      <c r="X86" s="182"/>
      <c r="Y86" s="182"/>
      <c r="Z86" s="182"/>
    </row>
    <row r="87">
      <c r="A87" s="92"/>
      <c r="B87" s="92"/>
      <c r="C87" s="92"/>
      <c r="D87" s="92"/>
      <c r="E87" s="92"/>
      <c r="F87" s="92"/>
      <c r="G87" s="92"/>
      <c r="H87" s="92"/>
      <c r="I87" s="92"/>
      <c r="J87" s="203"/>
      <c r="K87" s="202"/>
      <c r="L87" s="182"/>
      <c r="M87" s="182"/>
      <c r="N87" s="182"/>
      <c r="O87" s="182"/>
      <c r="P87" s="182"/>
      <c r="Q87" s="182"/>
      <c r="R87" s="182"/>
      <c r="S87" s="182"/>
      <c r="T87" s="182"/>
      <c r="U87" s="182"/>
      <c r="V87" s="182"/>
      <c r="W87" s="182"/>
      <c r="X87" s="182"/>
      <c r="Y87" s="182"/>
      <c r="Z87" s="182"/>
    </row>
    <row r="88">
      <c r="A88" s="92"/>
      <c r="B88" s="92"/>
      <c r="C88" s="92"/>
      <c r="D88" s="92"/>
      <c r="E88" s="92"/>
      <c r="F88" s="92"/>
      <c r="G88" s="92"/>
      <c r="H88" s="92"/>
      <c r="I88" s="92"/>
      <c r="J88" s="203"/>
      <c r="K88" s="202"/>
      <c r="L88" s="182"/>
      <c r="M88" s="182"/>
      <c r="N88" s="182"/>
      <c r="O88" s="182"/>
      <c r="P88" s="182"/>
      <c r="Q88" s="182"/>
      <c r="R88" s="182"/>
      <c r="S88" s="182"/>
      <c r="T88" s="182"/>
      <c r="U88" s="182"/>
      <c r="V88" s="182"/>
      <c r="W88" s="182"/>
      <c r="X88" s="182"/>
      <c r="Y88" s="182"/>
      <c r="Z88" s="182"/>
    </row>
    <row r="89">
      <c r="A89" s="92"/>
      <c r="B89" s="92"/>
      <c r="C89" s="92"/>
      <c r="D89" s="92"/>
      <c r="E89" s="92"/>
      <c r="F89" s="92"/>
      <c r="G89" s="92"/>
      <c r="H89" s="92"/>
      <c r="I89" s="92"/>
      <c r="J89" s="203"/>
      <c r="K89" s="202"/>
      <c r="L89" s="182"/>
      <c r="M89" s="182"/>
      <c r="N89" s="182"/>
      <c r="O89" s="182"/>
      <c r="P89" s="182"/>
      <c r="Q89" s="182"/>
      <c r="R89" s="182"/>
      <c r="S89" s="182"/>
      <c r="T89" s="182"/>
      <c r="U89" s="182"/>
      <c r="V89" s="182"/>
      <c r="W89" s="182"/>
      <c r="X89" s="182"/>
      <c r="Y89" s="182"/>
      <c r="Z89" s="182"/>
    </row>
    <row r="90">
      <c r="A90" s="21"/>
      <c r="B90" s="21"/>
      <c r="C90" s="21"/>
      <c r="D90" s="21"/>
      <c r="E90" s="21"/>
      <c r="F90" s="21"/>
      <c r="G90" s="21"/>
      <c r="H90" s="21"/>
      <c r="I90" s="21"/>
      <c r="J90" s="204"/>
      <c r="K90" s="202"/>
      <c r="L90" s="182"/>
      <c r="M90" s="182"/>
      <c r="N90" s="182"/>
      <c r="O90" s="182"/>
      <c r="P90" s="182"/>
      <c r="Q90" s="182"/>
      <c r="R90" s="182"/>
      <c r="S90" s="182"/>
      <c r="T90" s="182"/>
      <c r="U90" s="182"/>
      <c r="V90" s="182"/>
      <c r="W90" s="182"/>
      <c r="X90" s="182"/>
      <c r="Y90" s="182"/>
      <c r="Z90" s="182"/>
    </row>
    <row r="91">
      <c r="A91" s="150"/>
      <c r="B91" s="150"/>
      <c r="C91" s="150"/>
      <c r="D91" s="209"/>
      <c r="E91" s="209"/>
      <c r="F91" s="150"/>
      <c r="G91" s="150"/>
      <c r="H91" s="150"/>
      <c r="I91" s="150"/>
      <c r="J91" s="150"/>
      <c r="K91" s="150"/>
      <c r="L91" s="150"/>
      <c r="M91" s="150"/>
      <c r="N91" s="150"/>
      <c r="O91" s="150"/>
      <c r="P91" s="150"/>
      <c r="Q91" s="150"/>
      <c r="R91" s="150"/>
      <c r="S91" s="150"/>
      <c r="T91" s="150"/>
      <c r="U91" s="150"/>
      <c r="V91" s="150"/>
      <c r="W91" s="150"/>
      <c r="X91" s="150"/>
      <c r="Y91" s="150"/>
      <c r="Z91" s="150"/>
    </row>
    <row r="92">
      <c r="A92" s="150"/>
      <c r="B92" s="150"/>
      <c r="C92" s="150"/>
      <c r="D92" s="209"/>
      <c r="E92" s="209"/>
      <c r="F92" s="150"/>
      <c r="G92" s="150"/>
      <c r="H92" s="150"/>
      <c r="I92" s="150"/>
      <c r="J92" s="150"/>
      <c r="K92" s="150"/>
      <c r="L92" s="150"/>
      <c r="M92" s="150"/>
      <c r="N92" s="150"/>
      <c r="O92" s="150"/>
      <c r="P92" s="150"/>
      <c r="Q92" s="150"/>
      <c r="R92" s="150"/>
      <c r="S92" s="150"/>
      <c r="T92" s="150"/>
      <c r="U92" s="150"/>
      <c r="V92" s="150"/>
      <c r="W92" s="150"/>
      <c r="X92" s="150"/>
      <c r="Y92" s="150"/>
      <c r="Z92" s="150"/>
    </row>
    <row r="93">
      <c r="A93" s="150"/>
      <c r="B93" s="150"/>
      <c r="C93" s="150"/>
      <c r="D93" s="209"/>
      <c r="E93" s="209"/>
      <c r="F93" s="150"/>
      <c r="G93" s="150"/>
      <c r="H93" s="150"/>
      <c r="I93" s="150"/>
      <c r="J93" s="150"/>
      <c r="K93" s="150"/>
      <c r="L93" s="150"/>
      <c r="M93" s="150"/>
      <c r="N93" s="150"/>
      <c r="O93" s="150"/>
      <c r="P93" s="150"/>
      <c r="Q93" s="150"/>
      <c r="R93" s="150"/>
      <c r="S93" s="150"/>
      <c r="T93" s="150"/>
      <c r="U93" s="150"/>
      <c r="V93" s="150"/>
      <c r="W93" s="150"/>
      <c r="X93" s="150"/>
      <c r="Y93" s="150"/>
      <c r="Z93" s="150"/>
    </row>
    <row r="94">
      <c r="A94" s="150"/>
      <c r="B94" s="150"/>
      <c r="C94" s="150"/>
      <c r="D94" s="209"/>
      <c r="E94" s="209"/>
      <c r="F94" s="150"/>
      <c r="G94" s="150"/>
      <c r="H94" s="150"/>
      <c r="I94" s="150"/>
      <c r="J94" s="150"/>
      <c r="K94" s="150"/>
      <c r="L94" s="150"/>
      <c r="M94" s="150"/>
      <c r="N94" s="150"/>
      <c r="O94" s="150"/>
      <c r="P94" s="150"/>
      <c r="Q94" s="150"/>
      <c r="R94" s="150"/>
      <c r="S94" s="150"/>
      <c r="T94" s="150"/>
      <c r="U94" s="150"/>
      <c r="V94" s="150"/>
      <c r="W94" s="150"/>
      <c r="X94" s="150"/>
      <c r="Y94" s="150"/>
      <c r="Z94" s="150"/>
    </row>
    <row r="95">
      <c r="A95" s="150"/>
      <c r="B95" s="150"/>
      <c r="C95" s="150"/>
      <c r="D95" s="209"/>
      <c r="E95" s="209"/>
      <c r="F95" s="150"/>
      <c r="G95" s="150"/>
      <c r="H95" s="150"/>
      <c r="I95" s="150"/>
      <c r="J95" s="150"/>
      <c r="K95" s="150"/>
      <c r="L95" s="150"/>
      <c r="M95" s="150"/>
      <c r="N95" s="150"/>
      <c r="O95" s="150"/>
      <c r="P95" s="150"/>
      <c r="Q95" s="150"/>
      <c r="R95" s="150"/>
      <c r="S95" s="150"/>
      <c r="T95" s="150"/>
      <c r="U95" s="150"/>
      <c r="V95" s="150"/>
      <c r="W95" s="150"/>
      <c r="X95" s="150"/>
      <c r="Y95" s="150"/>
      <c r="Z95" s="150"/>
    </row>
    <row r="96">
      <c r="A96" s="150"/>
      <c r="B96" s="150"/>
      <c r="C96" s="150"/>
      <c r="D96" s="209"/>
      <c r="E96" s="209"/>
      <c r="F96" s="150"/>
      <c r="G96" s="150"/>
      <c r="H96" s="150"/>
      <c r="I96" s="150"/>
      <c r="J96" s="150"/>
      <c r="K96" s="150"/>
      <c r="L96" s="150"/>
      <c r="M96" s="150"/>
      <c r="N96" s="150"/>
      <c r="O96" s="150"/>
      <c r="P96" s="150"/>
      <c r="Q96" s="150"/>
      <c r="R96" s="150"/>
      <c r="S96" s="150"/>
      <c r="T96" s="150"/>
      <c r="U96" s="150"/>
      <c r="V96" s="150"/>
      <c r="W96" s="150"/>
      <c r="X96" s="150"/>
      <c r="Y96" s="150"/>
      <c r="Z96" s="150"/>
    </row>
    <row r="97">
      <c r="A97" s="150"/>
      <c r="B97" s="150"/>
      <c r="C97" s="150"/>
      <c r="D97" s="209"/>
      <c r="E97" s="209"/>
      <c r="F97" s="150"/>
      <c r="G97" s="150"/>
      <c r="H97" s="150"/>
      <c r="I97" s="150"/>
      <c r="J97" s="150"/>
      <c r="K97" s="150"/>
      <c r="L97" s="150"/>
      <c r="M97" s="150"/>
      <c r="N97" s="150"/>
      <c r="O97" s="150"/>
      <c r="P97" s="150"/>
      <c r="Q97" s="150"/>
      <c r="R97" s="150"/>
      <c r="S97" s="150"/>
      <c r="T97" s="150"/>
      <c r="U97" s="150"/>
      <c r="V97" s="150"/>
      <c r="W97" s="150"/>
      <c r="X97" s="150"/>
      <c r="Y97" s="150"/>
      <c r="Z97" s="150"/>
    </row>
    <row r="98">
      <c r="A98" s="150"/>
      <c r="B98" s="150"/>
      <c r="C98" s="150"/>
      <c r="D98" s="209"/>
      <c r="E98" s="209"/>
      <c r="F98" s="150"/>
      <c r="G98" s="150"/>
      <c r="H98" s="150"/>
      <c r="I98" s="150"/>
      <c r="J98" s="150"/>
      <c r="K98" s="150"/>
      <c r="L98" s="150"/>
      <c r="M98" s="150"/>
      <c r="N98" s="150"/>
      <c r="O98" s="150"/>
      <c r="P98" s="150"/>
      <c r="Q98" s="150"/>
      <c r="R98" s="150"/>
      <c r="S98" s="150"/>
      <c r="T98" s="150"/>
      <c r="U98" s="150"/>
      <c r="V98" s="150"/>
      <c r="W98" s="150"/>
      <c r="X98" s="150"/>
      <c r="Y98" s="150"/>
      <c r="Z98" s="150"/>
    </row>
    <row r="99">
      <c r="A99" s="150"/>
      <c r="B99" s="150"/>
      <c r="C99" s="150"/>
      <c r="D99" s="209"/>
      <c r="E99" s="209"/>
      <c r="F99" s="150"/>
      <c r="G99" s="150"/>
      <c r="H99" s="150"/>
      <c r="I99" s="150"/>
      <c r="J99" s="150"/>
      <c r="K99" s="150"/>
      <c r="L99" s="150"/>
      <c r="M99" s="150"/>
      <c r="N99" s="150"/>
      <c r="O99" s="150"/>
      <c r="P99" s="150"/>
      <c r="Q99" s="150"/>
      <c r="R99" s="150"/>
      <c r="S99" s="150"/>
      <c r="T99" s="150"/>
      <c r="U99" s="150"/>
      <c r="V99" s="150"/>
      <c r="W99" s="150"/>
      <c r="X99" s="150"/>
      <c r="Y99" s="150"/>
      <c r="Z99" s="150"/>
    </row>
    <row r="100">
      <c r="A100" s="150"/>
      <c r="B100" s="150"/>
      <c r="C100" s="150"/>
      <c r="D100" s="209"/>
      <c r="E100" s="209"/>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c r="A101" s="150"/>
      <c r="B101" s="150"/>
      <c r="C101" s="150"/>
      <c r="D101" s="209"/>
      <c r="E101" s="209"/>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c r="A102" s="150"/>
      <c r="B102" s="150"/>
      <c r="C102" s="150"/>
      <c r="D102" s="209"/>
      <c r="E102" s="209"/>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c r="A103" s="150"/>
      <c r="B103" s="150"/>
      <c r="C103" s="150"/>
      <c r="D103" s="209"/>
      <c r="E103" s="209"/>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c r="A104" s="150"/>
      <c r="B104" s="150"/>
      <c r="C104" s="150"/>
      <c r="D104" s="209"/>
      <c r="E104" s="209"/>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c r="A105" s="150"/>
      <c r="B105" s="150"/>
      <c r="C105" s="150"/>
      <c r="D105" s="209"/>
      <c r="E105" s="209"/>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c r="A106" s="150"/>
      <c r="B106" s="150"/>
      <c r="C106" s="150"/>
      <c r="D106" s="209"/>
      <c r="E106" s="209"/>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c r="A107" s="150"/>
      <c r="B107" s="150"/>
      <c r="C107" s="150"/>
      <c r="D107" s="209"/>
      <c r="E107" s="209"/>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c r="A108" s="150"/>
      <c r="B108" s="150"/>
      <c r="C108" s="150"/>
      <c r="D108" s="209"/>
      <c r="E108" s="209"/>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c r="A109" s="150"/>
      <c r="B109" s="150"/>
      <c r="C109" s="150"/>
      <c r="D109" s="209"/>
      <c r="E109" s="209"/>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c r="A110" s="150"/>
      <c r="B110" s="150"/>
      <c r="C110" s="150"/>
      <c r="D110" s="209"/>
      <c r="E110" s="209"/>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c r="A111" s="150"/>
      <c r="B111" s="150"/>
      <c r="C111" s="150"/>
      <c r="D111" s="209"/>
      <c r="E111" s="209"/>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c r="A112" s="150"/>
      <c r="B112" s="150"/>
      <c r="C112" s="150"/>
      <c r="D112" s="209"/>
      <c r="E112" s="209"/>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c r="A113" s="150"/>
      <c r="B113" s="150"/>
      <c r="C113" s="150"/>
      <c r="D113" s="209"/>
      <c r="E113" s="209"/>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c r="A114" s="150"/>
      <c r="B114" s="150"/>
      <c r="C114" s="150"/>
      <c r="D114" s="209"/>
      <c r="E114" s="209"/>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c r="A115" s="150"/>
      <c r="B115" s="150"/>
      <c r="C115" s="150"/>
      <c r="D115" s="209"/>
      <c r="E115" s="209"/>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c r="A116" s="150"/>
      <c r="B116" s="150"/>
      <c r="C116" s="150"/>
      <c r="D116" s="209"/>
      <c r="E116" s="209"/>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c r="A117" s="150"/>
      <c r="B117" s="150"/>
      <c r="C117" s="150"/>
      <c r="D117" s="209"/>
      <c r="E117" s="209"/>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c r="A118" s="150"/>
      <c r="B118" s="150"/>
      <c r="C118" s="150"/>
      <c r="D118" s="209"/>
      <c r="E118" s="209"/>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c r="A119" s="150"/>
      <c r="B119" s="150"/>
      <c r="C119" s="150"/>
      <c r="D119" s="209"/>
      <c r="E119" s="209"/>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c r="A120" s="150"/>
      <c r="B120" s="150"/>
      <c r="C120" s="150"/>
      <c r="D120" s="209"/>
      <c r="E120" s="209"/>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c r="A121" s="150"/>
      <c r="B121" s="150"/>
      <c r="C121" s="150"/>
      <c r="D121" s="209"/>
      <c r="E121" s="209"/>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c r="A122" s="150"/>
      <c r="B122" s="150"/>
      <c r="C122" s="150"/>
      <c r="D122" s="209"/>
      <c r="E122" s="209"/>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c r="A123" s="150"/>
      <c r="B123" s="150"/>
      <c r="C123" s="150"/>
      <c r="D123" s="209"/>
      <c r="E123" s="209"/>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c r="A124" s="150"/>
      <c r="B124" s="150"/>
      <c r="C124" s="150"/>
      <c r="D124" s="209"/>
      <c r="E124" s="209"/>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c r="A125" s="150"/>
      <c r="B125" s="150"/>
      <c r="C125" s="150"/>
      <c r="D125" s="209"/>
      <c r="E125" s="209"/>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c r="A126" s="150"/>
      <c r="B126" s="150"/>
      <c r="C126" s="150"/>
      <c r="D126" s="209"/>
      <c r="E126" s="209"/>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c r="A127" s="150"/>
      <c r="B127" s="150"/>
      <c r="C127" s="150"/>
      <c r="D127" s="209"/>
      <c r="E127" s="209"/>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c r="A128" s="150"/>
      <c r="B128" s="150"/>
      <c r="C128" s="150"/>
      <c r="D128" s="209"/>
      <c r="E128" s="209"/>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c r="A129" s="150"/>
      <c r="B129" s="150"/>
      <c r="C129" s="150"/>
      <c r="D129" s="209"/>
      <c r="E129" s="209"/>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c r="A130" s="150"/>
      <c r="B130" s="150"/>
      <c r="C130" s="150"/>
      <c r="D130" s="209"/>
      <c r="E130" s="209"/>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c r="A131" s="150"/>
      <c r="B131" s="150"/>
      <c r="C131" s="150"/>
      <c r="D131" s="209"/>
      <c r="E131" s="209"/>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c r="A132" s="150"/>
      <c r="B132" s="150"/>
      <c r="C132" s="150"/>
      <c r="D132" s="209"/>
      <c r="E132" s="209"/>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c r="A133" s="150"/>
      <c r="B133" s="150"/>
      <c r="C133" s="150"/>
      <c r="D133" s="209"/>
      <c r="E133" s="209"/>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c r="A134" s="150"/>
      <c r="B134" s="150"/>
      <c r="C134" s="150"/>
      <c r="D134" s="209"/>
      <c r="E134" s="209"/>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c r="A135" s="150"/>
      <c r="B135" s="150"/>
      <c r="C135" s="150"/>
      <c r="D135" s="209"/>
      <c r="E135" s="209"/>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c r="A136" s="150"/>
      <c r="B136" s="150"/>
      <c r="C136" s="150"/>
      <c r="D136" s="209"/>
      <c r="E136" s="209"/>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c r="A137" s="150"/>
      <c r="B137" s="150"/>
      <c r="C137" s="150"/>
      <c r="D137" s="209"/>
      <c r="E137" s="209"/>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c r="A138" s="150"/>
      <c r="B138" s="150"/>
      <c r="C138" s="150"/>
      <c r="D138" s="209"/>
      <c r="E138" s="209"/>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c r="A139" s="150"/>
      <c r="B139" s="150"/>
      <c r="C139" s="150"/>
      <c r="D139" s="209"/>
      <c r="E139" s="209"/>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c r="A140" s="150"/>
      <c r="B140" s="150"/>
      <c r="C140" s="150"/>
      <c r="D140" s="209"/>
      <c r="E140" s="209"/>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c r="A141" s="150"/>
      <c r="B141" s="150"/>
      <c r="C141" s="150"/>
      <c r="D141" s="209"/>
      <c r="E141" s="209"/>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c r="A142" s="150"/>
      <c r="B142" s="150"/>
      <c r="C142" s="150"/>
      <c r="D142" s="209"/>
      <c r="E142" s="209"/>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c r="A143" s="150"/>
      <c r="B143" s="150"/>
      <c r="C143" s="150"/>
      <c r="D143" s="209"/>
      <c r="E143" s="209"/>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c r="A144" s="150"/>
      <c r="B144" s="150"/>
      <c r="C144" s="150"/>
      <c r="D144" s="209"/>
      <c r="E144" s="209"/>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c r="A145" s="150"/>
      <c r="B145" s="150"/>
      <c r="C145" s="150"/>
      <c r="D145" s="209"/>
      <c r="E145" s="209"/>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c r="A146" s="150"/>
      <c r="B146" s="150"/>
      <c r="C146" s="150"/>
      <c r="D146" s="209"/>
      <c r="E146" s="209"/>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c r="A147" s="150"/>
      <c r="B147" s="150"/>
      <c r="C147" s="150"/>
      <c r="D147" s="209"/>
      <c r="E147" s="209"/>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c r="A148" s="150"/>
      <c r="B148" s="150"/>
      <c r="C148" s="150"/>
      <c r="D148" s="209"/>
      <c r="E148" s="209"/>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c r="A149" s="150"/>
      <c r="B149" s="150"/>
      <c r="C149" s="150"/>
      <c r="D149" s="209"/>
      <c r="E149" s="209"/>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c r="A150" s="150"/>
      <c r="B150" s="150"/>
      <c r="C150" s="150"/>
      <c r="D150" s="209"/>
      <c r="E150" s="209"/>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c r="A151" s="150"/>
      <c r="B151" s="150"/>
      <c r="C151" s="150"/>
      <c r="D151" s="209"/>
      <c r="E151" s="209"/>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c r="A152" s="150"/>
      <c r="B152" s="150"/>
      <c r="C152" s="150"/>
      <c r="D152" s="209"/>
      <c r="E152" s="209"/>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c r="A153" s="150"/>
      <c r="B153" s="150"/>
      <c r="C153" s="150"/>
      <c r="D153" s="209"/>
      <c r="E153" s="209"/>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c r="A154" s="150"/>
      <c r="B154" s="150"/>
      <c r="C154" s="150"/>
      <c r="D154" s="209"/>
      <c r="E154" s="209"/>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c r="A155" s="150"/>
      <c r="B155" s="150"/>
      <c r="C155" s="150"/>
      <c r="D155" s="209"/>
      <c r="E155" s="209"/>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c r="A156" s="150"/>
      <c r="B156" s="150"/>
      <c r="C156" s="150"/>
      <c r="D156" s="209"/>
      <c r="E156" s="209"/>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c r="A157" s="150"/>
      <c r="B157" s="150"/>
      <c r="C157" s="150"/>
      <c r="D157" s="209"/>
      <c r="E157" s="209"/>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c r="A158" s="150"/>
      <c r="B158" s="150"/>
      <c r="C158" s="150"/>
      <c r="D158" s="209"/>
      <c r="E158" s="209"/>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c r="A159" s="150"/>
      <c r="B159" s="150"/>
      <c r="C159" s="150"/>
      <c r="D159" s="209"/>
      <c r="E159" s="209"/>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c r="A160" s="150"/>
      <c r="B160" s="150"/>
      <c r="C160" s="150"/>
      <c r="D160" s="209"/>
      <c r="E160" s="209"/>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c r="A161" s="150"/>
      <c r="B161" s="150"/>
      <c r="C161" s="150"/>
      <c r="D161" s="209"/>
      <c r="E161" s="209"/>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c r="A162" s="150"/>
      <c r="B162" s="150"/>
      <c r="C162" s="150"/>
      <c r="D162" s="209"/>
      <c r="E162" s="209"/>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c r="A163" s="150"/>
      <c r="B163" s="150"/>
      <c r="C163" s="150"/>
      <c r="D163" s="209"/>
      <c r="E163" s="209"/>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c r="A164" s="150"/>
      <c r="B164" s="150"/>
      <c r="C164" s="150"/>
      <c r="D164" s="209"/>
      <c r="E164" s="209"/>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c r="A165" s="150"/>
      <c r="B165" s="150"/>
      <c r="C165" s="150"/>
      <c r="D165" s="209"/>
      <c r="E165" s="209"/>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c r="A166" s="150"/>
      <c r="B166" s="150"/>
      <c r="C166" s="150"/>
      <c r="D166" s="209"/>
      <c r="E166" s="209"/>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c r="A167" s="150"/>
      <c r="B167" s="150"/>
      <c r="C167" s="150"/>
      <c r="D167" s="209"/>
      <c r="E167" s="209"/>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c r="A168" s="150"/>
      <c r="B168" s="150"/>
      <c r="C168" s="150"/>
      <c r="D168" s="209"/>
      <c r="E168" s="209"/>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c r="A169" s="150"/>
      <c r="B169" s="150"/>
      <c r="C169" s="150"/>
      <c r="D169" s="209"/>
      <c r="E169" s="209"/>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c r="A170" s="150"/>
      <c r="B170" s="150"/>
      <c r="C170" s="150"/>
      <c r="D170" s="209"/>
      <c r="E170" s="209"/>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c r="A171" s="150"/>
      <c r="B171" s="150"/>
      <c r="C171" s="150"/>
      <c r="D171" s="209"/>
      <c r="E171" s="209"/>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c r="A172" s="150"/>
      <c r="B172" s="150"/>
      <c r="C172" s="150"/>
      <c r="D172" s="209"/>
      <c r="E172" s="209"/>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c r="A173" s="150"/>
      <c r="B173" s="150"/>
      <c r="C173" s="150"/>
      <c r="D173" s="209"/>
      <c r="E173" s="209"/>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c r="A174" s="150"/>
      <c r="B174" s="150"/>
      <c r="C174" s="150"/>
      <c r="D174" s="209"/>
      <c r="E174" s="209"/>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c r="A175" s="150"/>
      <c r="B175" s="150"/>
      <c r="C175" s="150"/>
      <c r="D175" s="209"/>
      <c r="E175" s="209"/>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c r="A176" s="150"/>
      <c r="B176" s="150"/>
      <c r="C176" s="150"/>
      <c r="D176" s="209"/>
      <c r="E176" s="209"/>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c r="A177" s="150"/>
      <c r="B177" s="150"/>
      <c r="C177" s="150"/>
      <c r="D177" s="209"/>
      <c r="E177" s="209"/>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c r="A178" s="150"/>
      <c r="B178" s="150"/>
      <c r="C178" s="150"/>
      <c r="D178" s="209"/>
      <c r="E178" s="209"/>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c r="A179" s="150"/>
      <c r="B179" s="150"/>
      <c r="C179" s="150"/>
      <c r="D179" s="209"/>
      <c r="E179" s="209"/>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c r="A180" s="150"/>
      <c r="B180" s="150"/>
      <c r="C180" s="150"/>
      <c r="D180" s="209"/>
      <c r="E180" s="209"/>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c r="A181" s="150"/>
      <c r="B181" s="150"/>
      <c r="C181" s="150"/>
      <c r="D181" s="209"/>
      <c r="E181" s="209"/>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c r="A182" s="150"/>
      <c r="B182" s="150"/>
      <c r="C182" s="150"/>
      <c r="D182" s="209"/>
      <c r="E182" s="209"/>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c r="A183" s="150"/>
      <c r="B183" s="150"/>
      <c r="C183" s="150"/>
      <c r="D183" s="209"/>
      <c r="E183" s="209"/>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c r="A184" s="150"/>
      <c r="B184" s="150"/>
      <c r="C184" s="150"/>
      <c r="D184" s="209"/>
      <c r="E184" s="209"/>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c r="A185" s="150"/>
      <c r="B185" s="150"/>
      <c r="C185" s="150"/>
      <c r="D185" s="209"/>
      <c r="E185" s="209"/>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c r="A186" s="150"/>
      <c r="B186" s="150"/>
      <c r="C186" s="150"/>
      <c r="D186" s="209"/>
      <c r="E186" s="209"/>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c r="A187" s="150"/>
      <c r="B187" s="150"/>
      <c r="C187" s="150"/>
      <c r="D187" s="209"/>
      <c r="E187" s="209"/>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c r="A188" s="150"/>
      <c r="B188" s="150"/>
      <c r="C188" s="150"/>
      <c r="D188" s="209"/>
      <c r="E188" s="209"/>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c r="A189" s="150"/>
      <c r="B189" s="150"/>
      <c r="C189" s="150"/>
      <c r="D189" s="209"/>
      <c r="E189" s="209"/>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c r="A190" s="150"/>
      <c r="B190" s="150"/>
      <c r="C190" s="150"/>
      <c r="D190" s="209"/>
      <c r="E190" s="209"/>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c r="A191" s="150"/>
      <c r="B191" s="150"/>
      <c r="C191" s="150"/>
      <c r="D191" s="209"/>
      <c r="E191" s="209"/>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c r="A192" s="150"/>
      <c r="B192" s="150"/>
      <c r="C192" s="150"/>
      <c r="D192" s="209"/>
      <c r="E192" s="209"/>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c r="A193" s="150"/>
      <c r="B193" s="150"/>
      <c r="C193" s="150"/>
      <c r="D193" s="209"/>
      <c r="E193" s="209"/>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c r="A194" s="150"/>
      <c r="B194" s="150"/>
      <c r="C194" s="150"/>
      <c r="D194" s="209"/>
      <c r="E194" s="209"/>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c r="A195" s="150"/>
      <c r="B195" s="150"/>
      <c r="C195" s="150"/>
      <c r="D195" s="209"/>
      <c r="E195" s="209"/>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c r="A196" s="150"/>
      <c r="B196" s="150"/>
      <c r="C196" s="150"/>
      <c r="D196" s="209"/>
      <c r="E196" s="209"/>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c r="A197" s="150"/>
      <c r="B197" s="150"/>
      <c r="C197" s="150"/>
      <c r="D197" s="209"/>
      <c r="E197" s="209"/>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c r="A198" s="150"/>
      <c r="B198" s="150"/>
      <c r="C198" s="150"/>
      <c r="D198" s="209"/>
      <c r="E198" s="209"/>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c r="A199" s="150"/>
      <c r="B199" s="150"/>
      <c r="C199" s="150"/>
      <c r="D199" s="209"/>
      <c r="E199" s="209"/>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c r="A200" s="150"/>
      <c r="B200" s="150"/>
      <c r="C200" s="150"/>
      <c r="D200" s="209"/>
      <c r="E200" s="209"/>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c r="A201" s="150"/>
      <c r="B201" s="150"/>
      <c r="C201" s="150"/>
      <c r="D201" s="209"/>
      <c r="E201" s="209"/>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c r="A202" s="150"/>
      <c r="B202" s="150"/>
      <c r="C202" s="150"/>
      <c r="D202" s="209"/>
      <c r="E202" s="209"/>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c r="A203" s="150"/>
      <c r="B203" s="150"/>
      <c r="C203" s="150"/>
      <c r="D203" s="209"/>
      <c r="E203" s="209"/>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c r="A204" s="150"/>
      <c r="B204" s="150"/>
      <c r="C204" s="150"/>
      <c r="D204" s="209"/>
      <c r="E204" s="209"/>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c r="A205" s="150"/>
      <c r="B205" s="150"/>
      <c r="C205" s="150"/>
      <c r="D205" s="209"/>
      <c r="E205" s="209"/>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c r="A206" s="150"/>
      <c r="B206" s="150"/>
      <c r="C206" s="150"/>
      <c r="D206" s="209"/>
      <c r="E206" s="209"/>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c r="A207" s="150"/>
      <c r="B207" s="150"/>
      <c r="C207" s="150"/>
      <c r="D207" s="209"/>
      <c r="E207" s="209"/>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c r="A208" s="150"/>
      <c r="B208" s="150"/>
      <c r="C208" s="150"/>
      <c r="D208" s="209"/>
      <c r="E208" s="209"/>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c r="A209" s="150"/>
      <c r="B209" s="150"/>
      <c r="C209" s="150"/>
      <c r="D209" s="209"/>
      <c r="E209" s="209"/>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c r="A210" s="150"/>
      <c r="B210" s="150"/>
      <c r="C210" s="150"/>
      <c r="D210" s="209"/>
      <c r="E210" s="209"/>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c r="A211" s="150"/>
      <c r="B211" s="150"/>
      <c r="C211" s="150"/>
      <c r="D211" s="209"/>
      <c r="E211" s="209"/>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c r="A212" s="150"/>
      <c r="B212" s="150"/>
      <c r="C212" s="150"/>
      <c r="D212" s="209"/>
      <c r="E212" s="209"/>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c r="A213" s="150"/>
      <c r="B213" s="150"/>
      <c r="C213" s="150"/>
      <c r="D213" s="209"/>
      <c r="E213" s="209"/>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c r="A214" s="150"/>
      <c r="B214" s="150"/>
      <c r="C214" s="150"/>
      <c r="D214" s="209"/>
      <c r="E214" s="209"/>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c r="A215" s="150"/>
      <c r="B215" s="150"/>
      <c r="C215" s="150"/>
      <c r="D215" s="209"/>
      <c r="E215" s="209"/>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c r="A216" s="150"/>
      <c r="B216" s="150"/>
      <c r="C216" s="150"/>
      <c r="D216" s="209"/>
      <c r="E216" s="209"/>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c r="A217" s="150"/>
      <c r="B217" s="150"/>
      <c r="C217" s="150"/>
      <c r="D217" s="209"/>
      <c r="E217" s="209"/>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c r="A218" s="150"/>
      <c r="B218" s="150"/>
      <c r="C218" s="150"/>
      <c r="D218" s="209"/>
      <c r="E218" s="209"/>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c r="A219" s="150"/>
      <c r="B219" s="150"/>
      <c r="C219" s="150"/>
      <c r="D219" s="209"/>
      <c r="E219" s="209"/>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c r="A220" s="150"/>
      <c r="B220" s="150"/>
      <c r="C220" s="150"/>
      <c r="D220" s="209"/>
      <c r="E220" s="209"/>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c r="A221" s="150"/>
      <c r="B221" s="150"/>
      <c r="C221" s="150"/>
      <c r="D221" s="209"/>
      <c r="E221" s="209"/>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c r="A222" s="150"/>
      <c r="B222" s="150"/>
      <c r="C222" s="150"/>
      <c r="D222" s="209"/>
      <c r="E222" s="209"/>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c r="A223" s="150"/>
      <c r="B223" s="150"/>
      <c r="C223" s="150"/>
      <c r="D223" s="209"/>
      <c r="E223" s="209"/>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c r="A224" s="150"/>
      <c r="B224" s="150"/>
      <c r="C224" s="150"/>
      <c r="D224" s="209"/>
      <c r="E224" s="209"/>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c r="A225" s="150"/>
      <c r="B225" s="150"/>
      <c r="C225" s="150"/>
      <c r="D225" s="209"/>
      <c r="E225" s="209"/>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c r="A226" s="150"/>
      <c r="B226" s="150"/>
      <c r="C226" s="150"/>
      <c r="D226" s="209"/>
      <c r="E226" s="209"/>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c r="A227" s="150"/>
      <c r="B227" s="150"/>
      <c r="C227" s="150"/>
      <c r="D227" s="209"/>
      <c r="E227" s="209"/>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c r="A228" s="150"/>
      <c r="B228" s="150"/>
      <c r="C228" s="150"/>
      <c r="D228" s="209"/>
      <c r="E228" s="209"/>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c r="A229" s="150"/>
      <c r="B229" s="150"/>
      <c r="C229" s="150"/>
      <c r="D229" s="209"/>
      <c r="E229" s="209"/>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c r="A230" s="150"/>
      <c r="B230" s="150"/>
      <c r="C230" s="150"/>
      <c r="D230" s="209"/>
      <c r="E230" s="209"/>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c r="A231" s="150"/>
      <c r="B231" s="150"/>
      <c r="C231" s="150"/>
      <c r="D231" s="209"/>
      <c r="E231" s="209"/>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c r="A232" s="150"/>
      <c r="B232" s="150"/>
      <c r="C232" s="150"/>
      <c r="D232" s="209"/>
      <c r="E232" s="209"/>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c r="A233" s="150"/>
      <c r="B233" s="150"/>
      <c r="C233" s="150"/>
      <c r="D233" s="209"/>
      <c r="E233" s="209"/>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c r="A234" s="150"/>
      <c r="B234" s="150"/>
      <c r="C234" s="150"/>
      <c r="D234" s="209"/>
      <c r="E234" s="209"/>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c r="A235" s="150"/>
      <c r="B235" s="150"/>
      <c r="C235" s="150"/>
      <c r="D235" s="209"/>
      <c r="E235" s="209"/>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c r="A236" s="150"/>
      <c r="B236" s="150"/>
      <c r="C236" s="150"/>
      <c r="D236" s="209"/>
      <c r="E236" s="209"/>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c r="A237" s="150"/>
      <c r="B237" s="150"/>
      <c r="C237" s="150"/>
      <c r="D237" s="209"/>
      <c r="E237" s="209"/>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c r="A238" s="150"/>
      <c r="B238" s="150"/>
      <c r="C238" s="150"/>
      <c r="D238" s="209"/>
      <c r="E238" s="209"/>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c r="A239" s="150"/>
      <c r="B239" s="150"/>
      <c r="C239" s="150"/>
      <c r="D239" s="209"/>
      <c r="E239" s="209"/>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c r="A240" s="150"/>
      <c r="B240" s="150"/>
      <c r="C240" s="150"/>
      <c r="D240" s="209"/>
      <c r="E240" s="209"/>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c r="A241" s="150"/>
      <c r="B241" s="150"/>
      <c r="C241" s="150"/>
      <c r="D241" s="209"/>
      <c r="E241" s="209"/>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c r="A242" s="150"/>
      <c r="B242" s="150"/>
      <c r="C242" s="150"/>
      <c r="D242" s="209"/>
      <c r="E242" s="209"/>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c r="A243" s="150"/>
      <c r="B243" s="150"/>
      <c r="C243" s="150"/>
      <c r="D243" s="209"/>
      <c r="E243" s="209"/>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c r="A244" s="150"/>
      <c r="B244" s="150"/>
      <c r="C244" s="150"/>
      <c r="D244" s="209"/>
      <c r="E244" s="209"/>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c r="A245" s="150"/>
      <c r="B245" s="150"/>
      <c r="C245" s="150"/>
      <c r="D245" s="209"/>
      <c r="E245" s="209"/>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c r="A246" s="150"/>
      <c r="B246" s="150"/>
      <c r="C246" s="150"/>
      <c r="D246" s="209"/>
      <c r="E246" s="209"/>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c r="A247" s="150"/>
      <c r="B247" s="150"/>
      <c r="C247" s="150"/>
      <c r="D247" s="209"/>
      <c r="E247" s="209"/>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c r="A248" s="150"/>
      <c r="B248" s="150"/>
      <c r="C248" s="150"/>
      <c r="D248" s="209"/>
      <c r="E248" s="209"/>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c r="A249" s="150"/>
      <c r="B249" s="150"/>
      <c r="C249" s="150"/>
      <c r="D249" s="209"/>
      <c r="E249" s="209"/>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c r="A250" s="150"/>
      <c r="B250" s="150"/>
      <c r="C250" s="150"/>
      <c r="D250" s="209"/>
      <c r="E250" s="209"/>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c r="A251" s="150"/>
      <c r="B251" s="150"/>
      <c r="C251" s="150"/>
      <c r="D251" s="209"/>
      <c r="E251" s="209"/>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c r="A252" s="150"/>
      <c r="B252" s="150"/>
      <c r="C252" s="150"/>
      <c r="D252" s="209"/>
      <c r="E252" s="209"/>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c r="A253" s="150"/>
      <c r="B253" s="150"/>
      <c r="C253" s="150"/>
      <c r="D253" s="209"/>
      <c r="E253" s="209"/>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c r="A254" s="150"/>
      <c r="B254" s="150"/>
      <c r="C254" s="150"/>
      <c r="D254" s="209"/>
      <c r="E254" s="209"/>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c r="A255" s="150"/>
      <c r="B255" s="150"/>
      <c r="C255" s="150"/>
      <c r="D255" s="209"/>
      <c r="E255" s="209"/>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c r="A256" s="150"/>
      <c r="B256" s="150"/>
      <c r="C256" s="150"/>
      <c r="D256" s="209"/>
      <c r="E256" s="209"/>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c r="A257" s="150"/>
      <c r="B257" s="150"/>
      <c r="C257" s="150"/>
      <c r="D257" s="209"/>
      <c r="E257" s="209"/>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c r="A258" s="150"/>
      <c r="B258" s="150"/>
      <c r="C258" s="150"/>
      <c r="D258" s="209"/>
      <c r="E258" s="209"/>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c r="A259" s="150"/>
      <c r="B259" s="150"/>
      <c r="C259" s="150"/>
      <c r="D259" s="209"/>
      <c r="E259" s="209"/>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c r="A260" s="150"/>
      <c r="B260" s="150"/>
      <c r="C260" s="150"/>
      <c r="D260" s="209"/>
      <c r="E260" s="209"/>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c r="A261" s="150"/>
      <c r="B261" s="150"/>
      <c r="C261" s="150"/>
      <c r="D261" s="209"/>
      <c r="E261" s="209"/>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c r="A262" s="150"/>
      <c r="B262" s="150"/>
      <c r="C262" s="150"/>
      <c r="D262" s="209"/>
      <c r="E262" s="209"/>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c r="A263" s="150"/>
      <c r="B263" s="150"/>
      <c r="C263" s="150"/>
      <c r="D263" s="209"/>
      <c r="E263" s="209"/>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c r="A264" s="150"/>
      <c r="B264" s="150"/>
      <c r="C264" s="150"/>
      <c r="D264" s="209"/>
      <c r="E264" s="209"/>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c r="A265" s="150"/>
      <c r="B265" s="150"/>
      <c r="C265" s="150"/>
      <c r="D265" s="209"/>
      <c r="E265" s="209"/>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c r="A266" s="150"/>
      <c r="B266" s="150"/>
      <c r="C266" s="150"/>
      <c r="D266" s="209"/>
      <c r="E266" s="209"/>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c r="A267" s="150"/>
      <c r="B267" s="150"/>
      <c r="C267" s="150"/>
      <c r="D267" s="209"/>
      <c r="E267" s="209"/>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c r="A268" s="150"/>
      <c r="B268" s="150"/>
      <c r="C268" s="150"/>
      <c r="D268" s="209"/>
      <c r="E268" s="209"/>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c r="A269" s="150"/>
      <c r="B269" s="150"/>
      <c r="C269" s="150"/>
      <c r="D269" s="209"/>
      <c r="E269" s="209"/>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c r="A270" s="150"/>
      <c r="B270" s="150"/>
      <c r="C270" s="150"/>
      <c r="D270" s="209"/>
      <c r="E270" s="209"/>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c r="A271" s="150"/>
      <c r="B271" s="150"/>
      <c r="C271" s="150"/>
      <c r="D271" s="209"/>
      <c r="E271" s="209"/>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c r="A272" s="150"/>
      <c r="B272" s="150"/>
      <c r="C272" s="150"/>
      <c r="D272" s="209"/>
      <c r="E272" s="209"/>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c r="A273" s="150"/>
      <c r="B273" s="150"/>
      <c r="C273" s="150"/>
      <c r="D273" s="209"/>
      <c r="E273" s="209"/>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c r="A274" s="150"/>
      <c r="B274" s="150"/>
      <c r="C274" s="150"/>
      <c r="D274" s="209"/>
      <c r="E274" s="209"/>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c r="A275" s="150"/>
      <c r="B275" s="150"/>
      <c r="C275" s="150"/>
      <c r="D275" s="209"/>
      <c r="E275" s="209"/>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c r="A276" s="150"/>
      <c r="B276" s="150"/>
      <c r="C276" s="150"/>
      <c r="D276" s="209"/>
      <c r="E276" s="209"/>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c r="A277" s="150"/>
      <c r="B277" s="150"/>
      <c r="C277" s="150"/>
      <c r="D277" s="209"/>
      <c r="E277" s="209"/>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c r="A278" s="150"/>
      <c r="B278" s="150"/>
      <c r="C278" s="150"/>
      <c r="D278" s="209"/>
      <c r="E278" s="209"/>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c r="A279" s="150"/>
      <c r="B279" s="150"/>
      <c r="C279" s="150"/>
      <c r="D279" s="209"/>
      <c r="E279" s="209"/>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c r="A280" s="150"/>
      <c r="B280" s="150"/>
      <c r="C280" s="150"/>
      <c r="D280" s="209"/>
      <c r="E280" s="209"/>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c r="A281" s="150"/>
      <c r="B281" s="150"/>
      <c r="C281" s="150"/>
      <c r="D281" s="209"/>
      <c r="E281" s="209"/>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c r="A282" s="150"/>
      <c r="B282" s="150"/>
      <c r="C282" s="150"/>
      <c r="D282" s="209"/>
      <c r="E282" s="209"/>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c r="A283" s="150"/>
      <c r="B283" s="150"/>
      <c r="C283" s="150"/>
      <c r="D283" s="209"/>
      <c r="E283" s="209"/>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c r="A284" s="150"/>
      <c r="B284" s="150"/>
      <c r="C284" s="150"/>
      <c r="D284" s="209"/>
      <c r="E284" s="209"/>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c r="A285" s="150"/>
      <c r="B285" s="150"/>
      <c r="C285" s="150"/>
      <c r="D285" s="209"/>
      <c r="E285" s="209"/>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c r="A286" s="150"/>
      <c r="B286" s="150"/>
      <c r="C286" s="150"/>
      <c r="D286" s="209"/>
      <c r="E286" s="209"/>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c r="A287" s="150"/>
      <c r="B287" s="150"/>
      <c r="C287" s="150"/>
      <c r="D287" s="209"/>
      <c r="E287" s="209"/>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c r="A288" s="150"/>
      <c r="B288" s="150"/>
      <c r="C288" s="150"/>
      <c r="D288" s="209"/>
      <c r="E288" s="209"/>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c r="A289" s="150"/>
      <c r="B289" s="150"/>
      <c r="C289" s="150"/>
      <c r="D289" s="209"/>
      <c r="E289" s="209"/>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c r="A290" s="150"/>
      <c r="B290" s="150"/>
      <c r="C290" s="150"/>
      <c r="D290" s="209"/>
      <c r="E290" s="209"/>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c r="A291" s="150"/>
      <c r="B291" s="150"/>
      <c r="C291" s="150"/>
      <c r="D291" s="209"/>
      <c r="E291" s="209"/>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c r="A292" s="150"/>
      <c r="B292" s="150"/>
      <c r="C292" s="150"/>
      <c r="D292" s="209"/>
      <c r="E292" s="209"/>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c r="A293" s="150"/>
      <c r="B293" s="150"/>
      <c r="C293" s="150"/>
      <c r="D293" s="209"/>
      <c r="E293" s="209"/>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c r="A294" s="150"/>
      <c r="B294" s="150"/>
      <c r="C294" s="150"/>
      <c r="D294" s="209"/>
      <c r="E294" s="209"/>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c r="A295" s="150"/>
      <c r="B295" s="150"/>
      <c r="C295" s="150"/>
      <c r="D295" s="209"/>
      <c r="E295" s="209"/>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c r="A296" s="150"/>
      <c r="B296" s="150"/>
      <c r="C296" s="150"/>
      <c r="D296" s="209"/>
      <c r="E296" s="209"/>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c r="A297" s="150"/>
      <c r="B297" s="150"/>
      <c r="C297" s="150"/>
      <c r="D297" s="209"/>
      <c r="E297" s="209"/>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c r="A298" s="150"/>
      <c r="B298" s="150"/>
      <c r="C298" s="150"/>
      <c r="D298" s="209"/>
      <c r="E298" s="209"/>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c r="A299" s="150"/>
      <c r="B299" s="150"/>
      <c r="C299" s="150"/>
      <c r="D299" s="209"/>
      <c r="E299" s="209"/>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c r="A300" s="150"/>
      <c r="B300" s="150"/>
      <c r="C300" s="150"/>
      <c r="D300" s="209"/>
      <c r="E300" s="209"/>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c r="A301" s="150"/>
      <c r="B301" s="150"/>
      <c r="C301" s="150"/>
      <c r="D301" s="209"/>
      <c r="E301" s="209"/>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c r="A302" s="150"/>
      <c r="B302" s="150"/>
      <c r="C302" s="150"/>
      <c r="D302" s="209"/>
      <c r="E302" s="209"/>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c r="A303" s="150"/>
      <c r="B303" s="150"/>
      <c r="C303" s="150"/>
      <c r="D303" s="209"/>
      <c r="E303" s="209"/>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c r="A304" s="150"/>
      <c r="B304" s="150"/>
      <c r="C304" s="150"/>
      <c r="D304" s="209"/>
      <c r="E304" s="209"/>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c r="A305" s="150"/>
      <c r="B305" s="150"/>
      <c r="C305" s="150"/>
      <c r="D305" s="209"/>
      <c r="E305" s="209"/>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c r="A306" s="150"/>
      <c r="B306" s="150"/>
      <c r="C306" s="150"/>
      <c r="D306" s="209"/>
      <c r="E306" s="209"/>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c r="A307" s="150"/>
      <c r="B307" s="150"/>
      <c r="C307" s="150"/>
      <c r="D307" s="209"/>
      <c r="E307" s="209"/>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c r="A308" s="150"/>
      <c r="B308" s="150"/>
      <c r="C308" s="150"/>
      <c r="D308" s="209"/>
      <c r="E308" s="209"/>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c r="A309" s="150"/>
      <c r="B309" s="150"/>
      <c r="C309" s="150"/>
      <c r="D309" s="209"/>
      <c r="E309" s="209"/>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c r="A310" s="150"/>
      <c r="B310" s="150"/>
      <c r="C310" s="150"/>
      <c r="D310" s="209"/>
      <c r="E310" s="209"/>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c r="A311" s="150"/>
      <c r="B311" s="150"/>
      <c r="C311" s="150"/>
      <c r="D311" s="209"/>
      <c r="E311" s="209"/>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c r="A312" s="150"/>
      <c r="B312" s="150"/>
      <c r="C312" s="150"/>
      <c r="D312" s="209"/>
      <c r="E312" s="209"/>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c r="A313" s="150"/>
      <c r="B313" s="150"/>
      <c r="C313" s="150"/>
      <c r="D313" s="209"/>
      <c r="E313" s="209"/>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c r="A314" s="150"/>
      <c r="B314" s="150"/>
      <c r="C314" s="150"/>
      <c r="D314" s="209"/>
      <c r="E314" s="209"/>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c r="A315" s="150"/>
      <c r="B315" s="150"/>
      <c r="C315" s="150"/>
      <c r="D315" s="209"/>
      <c r="E315" s="209"/>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c r="A316" s="150"/>
      <c r="B316" s="150"/>
      <c r="C316" s="150"/>
      <c r="D316" s="209"/>
      <c r="E316" s="209"/>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c r="A317" s="150"/>
      <c r="B317" s="150"/>
      <c r="C317" s="150"/>
      <c r="D317" s="209"/>
      <c r="E317" s="209"/>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c r="A318" s="150"/>
      <c r="B318" s="150"/>
      <c r="C318" s="150"/>
      <c r="D318" s="209"/>
      <c r="E318" s="209"/>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c r="A319" s="150"/>
      <c r="B319" s="150"/>
      <c r="C319" s="150"/>
      <c r="D319" s="209"/>
      <c r="E319" s="209"/>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c r="A320" s="150"/>
      <c r="B320" s="150"/>
      <c r="C320" s="150"/>
      <c r="D320" s="209"/>
      <c r="E320" s="209"/>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c r="A321" s="150"/>
      <c r="B321" s="150"/>
      <c r="C321" s="150"/>
      <c r="D321" s="209"/>
      <c r="E321" s="209"/>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c r="A322" s="150"/>
      <c r="B322" s="150"/>
      <c r="C322" s="150"/>
      <c r="D322" s="209"/>
      <c r="E322" s="209"/>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c r="A323" s="150"/>
      <c r="B323" s="150"/>
      <c r="C323" s="150"/>
      <c r="D323" s="209"/>
      <c r="E323" s="209"/>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c r="A324" s="150"/>
      <c r="B324" s="150"/>
      <c r="C324" s="150"/>
      <c r="D324" s="209"/>
      <c r="E324" s="209"/>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c r="A325" s="150"/>
      <c r="B325" s="150"/>
      <c r="C325" s="150"/>
      <c r="D325" s="209"/>
      <c r="E325" s="209"/>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c r="A326" s="150"/>
      <c r="B326" s="150"/>
      <c r="C326" s="150"/>
      <c r="D326" s="209"/>
      <c r="E326" s="209"/>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c r="A327" s="150"/>
      <c r="B327" s="150"/>
      <c r="C327" s="150"/>
      <c r="D327" s="209"/>
      <c r="E327" s="209"/>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c r="A328" s="150"/>
      <c r="B328" s="150"/>
      <c r="C328" s="150"/>
      <c r="D328" s="209"/>
      <c r="E328" s="209"/>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c r="A329" s="150"/>
      <c r="B329" s="150"/>
      <c r="C329" s="150"/>
      <c r="D329" s="209"/>
      <c r="E329" s="209"/>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c r="A330" s="150"/>
      <c r="B330" s="150"/>
      <c r="C330" s="150"/>
      <c r="D330" s="209"/>
      <c r="E330" s="209"/>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c r="A331" s="150"/>
      <c r="B331" s="150"/>
      <c r="C331" s="150"/>
      <c r="D331" s="209"/>
      <c r="E331" s="209"/>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c r="A332" s="150"/>
      <c r="B332" s="150"/>
      <c r="C332" s="150"/>
      <c r="D332" s="209"/>
      <c r="E332" s="209"/>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c r="A333" s="150"/>
      <c r="B333" s="150"/>
      <c r="C333" s="150"/>
      <c r="D333" s="209"/>
      <c r="E333" s="209"/>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c r="A334" s="150"/>
      <c r="B334" s="150"/>
      <c r="C334" s="150"/>
      <c r="D334" s="209"/>
      <c r="E334" s="209"/>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c r="A335" s="150"/>
      <c r="B335" s="150"/>
      <c r="C335" s="150"/>
      <c r="D335" s="209"/>
      <c r="E335" s="209"/>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c r="A336" s="150"/>
      <c r="B336" s="150"/>
      <c r="C336" s="150"/>
      <c r="D336" s="209"/>
      <c r="E336" s="209"/>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c r="A337" s="150"/>
      <c r="B337" s="150"/>
      <c r="C337" s="150"/>
      <c r="D337" s="209"/>
      <c r="E337" s="209"/>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c r="A338" s="150"/>
      <c r="B338" s="150"/>
      <c r="C338" s="150"/>
      <c r="D338" s="209"/>
      <c r="E338" s="209"/>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c r="A339" s="150"/>
      <c r="B339" s="150"/>
      <c r="C339" s="150"/>
      <c r="D339" s="209"/>
      <c r="E339" s="209"/>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c r="A340" s="150"/>
      <c r="B340" s="150"/>
      <c r="C340" s="150"/>
      <c r="D340" s="209"/>
      <c r="E340" s="209"/>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c r="A341" s="150"/>
      <c r="B341" s="150"/>
      <c r="C341" s="150"/>
      <c r="D341" s="209"/>
      <c r="E341" s="209"/>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c r="A342" s="150"/>
      <c r="B342" s="150"/>
      <c r="C342" s="150"/>
      <c r="D342" s="209"/>
      <c r="E342" s="209"/>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c r="A343" s="150"/>
      <c r="B343" s="150"/>
      <c r="C343" s="150"/>
      <c r="D343" s="209"/>
      <c r="E343" s="209"/>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c r="A344" s="150"/>
      <c r="B344" s="150"/>
      <c r="C344" s="150"/>
      <c r="D344" s="209"/>
      <c r="E344" s="209"/>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c r="A345" s="150"/>
      <c r="B345" s="150"/>
      <c r="C345" s="150"/>
      <c r="D345" s="209"/>
      <c r="E345" s="209"/>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c r="A346" s="150"/>
      <c r="B346" s="150"/>
      <c r="C346" s="150"/>
      <c r="D346" s="209"/>
      <c r="E346" s="209"/>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c r="A347" s="150"/>
      <c r="B347" s="150"/>
      <c r="C347" s="150"/>
      <c r="D347" s="209"/>
      <c r="E347" s="209"/>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c r="A348" s="150"/>
      <c r="B348" s="150"/>
      <c r="C348" s="150"/>
      <c r="D348" s="209"/>
      <c r="E348" s="209"/>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c r="A349" s="150"/>
      <c r="B349" s="150"/>
      <c r="C349" s="150"/>
      <c r="D349" s="209"/>
      <c r="E349" s="209"/>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c r="A350" s="150"/>
      <c r="B350" s="150"/>
      <c r="C350" s="150"/>
      <c r="D350" s="209"/>
      <c r="E350" s="209"/>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c r="A351" s="150"/>
      <c r="B351" s="150"/>
      <c r="C351" s="150"/>
      <c r="D351" s="209"/>
      <c r="E351" s="209"/>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c r="A352" s="150"/>
      <c r="B352" s="150"/>
      <c r="C352" s="150"/>
      <c r="D352" s="209"/>
      <c r="E352" s="209"/>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c r="A353" s="150"/>
      <c r="B353" s="150"/>
      <c r="C353" s="150"/>
      <c r="D353" s="209"/>
      <c r="E353" s="209"/>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c r="A354" s="150"/>
      <c r="B354" s="150"/>
      <c r="C354" s="150"/>
      <c r="D354" s="209"/>
      <c r="E354" s="209"/>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c r="A355" s="150"/>
      <c r="B355" s="150"/>
      <c r="C355" s="150"/>
      <c r="D355" s="209"/>
      <c r="E355" s="209"/>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c r="A356" s="150"/>
      <c r="B356" s="150"/>
      <c r="C356" s="150"/>
      <c r="D356" s="209"/>
      <c r="E356" s="209"/>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c r="A357" s="150"/>
      <c r="B357" s="150"/>
      <c r="C357" s="150"/>
      <c r="D357" s="209"/>
      <c r="E357" s="209"/>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c r="A358" s="150"/>
      <c r="B358" s="150"/>
      <c r="C358" s="150"/>
      <c r="D358" s="209"/>
      <c r="E358" s="209"/>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c r="A359" s="150"/>
      <c r="B359" s="150"/>
      <c r="C359" s="150"/>
      <c r="D359" s="209"/>
      <c r="E359" s="209"/>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c r="A360" s="150"/>
      <c r="B360" s="150"/>
      <c r="C360" s="150"/>
      <c r="D360" s="209"/>
      <c r="E360" s="209"/>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c r="A361" s="150"/>
      <c r="B361" s="150"/>
      <c r="C361" s="150"/>
      <c r="D361" s="209"/>
      <c r="E361" s="209"/>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c r="A362" s="150"/>
      <c r="B362" s="150"/>
      <c r="C362" s="150"/>
      <c r="D362" s="209"/>
      <c r="E362" s="209"/>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c r="A363" s="150"/>
      <c r="B363" s="150"/>
      <c r="C363" s="150"/>
      <c r="D363" s="209"/>
      <c r="E363" s="209"/>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c r="A364" s="150"/>
      <c r="B364" s="150"/>
      <c r="C364" s="150"/>
      <c r="D364" s="209"/>
      <c r="E364" s="209"/>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c r="A365" s="150"/>
      <c r="B365" s="150"/>
      <c r="C365" s="150"/>
      <c r="D365" s="209"/>
      <c r="E365" s="209"/>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c r="A366" s="150"/>
      <c r="B366" s="150"/>
      <c r="C366" s="150"/>
      <c r="D366" s="209"/>
      <c r="E366" s="209"/>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c r="A367" s="150"/>
      <c r="B367" s="150"/>
      <c r="C367" s="150"/>
      <c r="D367" s="209"/>
      <c r="E367" s="209"/>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c r="A368" s="150"/>
      <c r="B368" s="150"/>
      <c r="C368" s="150"/>
      <c r="D368" s="209"/>
      <c r="E368" s="209"/>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c r="A369" s="150"/>
      <c r="B369" s="150"/>
      <c r="C369" s="150"/>
      <c r="D369" s="209"/>
      <c r="E369" s="209"/>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c r="A370" s="150"/>
      <c r="B370" s="150"/>
      <c r="C370" s="150"/>
      <c r="D370" s="209"/>
      <c r="E370" s="209"/>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c r="A371" s="150"/>
      <c r="B371" s="150"/>
      <c r="C371" s="150"/>
      <c r="D371" s="209"/>
      <c r="E371" s="209"/>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c r="A372" s="150"/>
      <c r="B372" s="150"/>
      <c r="C372" s="150"/>
      <c r="D372" s="209"/>
      <c r="E372" s="209"/>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c r="A373" s="150"/>
      <c r="B373" s="150"/>
      <c r="C373" s="150"/>
      <c r="D373" s="209"/>
      <c r="E373" s="209"/>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c r="A374" s="150"/>
      <c r="B374" s="150"/>
      <c r="C374" s="150"/>
      <c r="D374" s="209"/>
      <c r="E374" s="209"/>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c r="A375" s="150"/>
      <c r="B375" s="150"/>
      <c r="C375" s="150"/>
      <c r="D375" s="209"/>
      <c r="E375" s="209"/>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c r="A376" s="150"/>
      <c r="B376" s="150"/>
      <c r="C376" s="150"/>
      <c r="D376" s="209"/>
      <c r="E376" s="209"/>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c r="A377" s="150"/>
      <c r="B377" s="150"/>
      <c r="C377" s="150"/>
      <c r="D377" s="209"/>
      <c r="E377" s="209"/>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c r="A378" s="150"/>
      <c r="B378" s="150"/>
      <c r="C378" s="150"/>
      <c r="D378" s="209"/>
      <c r="E378" s="209"/>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c r="A379" s="150"/>
      <c r="B379" s="150"/>
      <c r="C379" s="150"/>
      <c r="D379" s="209"/>
      <c r="E379" s="209"/>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c r="A380" s="150"/>
      <c r="B380" s="150"/>
      <c r="C380" s="150"/>
      <c r="D380" s="209"/>
      <c r="E380" s="209"/>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c r="A381" s="150"/>
      <c r="B381" s="150"/>
      <c r="C381" s="150"/>
      <c r="D381" s="209"/>
      <c r="E381" s="209"/>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c r="A382" s="150"/>
      <c r="B382" s="150"/>
      <c r="C382" s="150"/>
      <c r="D382" s="209"/>
      <c r="E382" s="209"/>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c r="A383" s="150"/>
      <c r="B383" s="150"/>
      <c r="C383" s="150"/>
      <c r="D383" s="209"/>
      <c r="E383" s="209"/>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c r="A384" s="150"/>
      <c r="B384" s="150"/>
      <c r="C384" s="150"/>
      <c r="D384" s="209"/>
      <c r="E384" s="209"/>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c r="A385" s="150"/>
      <c r="B385" s="150"/>
      <c r="C385" s="150"/>
      <c r="D385" s="209"/>
      <c r="E385" s="209"/>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c r="A386" s="150"/>
      <c r="B386" s="150"/>
      <c r="C386" s="150"/>
      <c r="D386" s="209"/>
      <c r="E386" s="209"/>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c r="A387" s="150"/>
      <c r="B387" s="150"/>
      <c r="C387" s="150"/>
      <c r="D387" s="209"/>
      <c r="E387" s="209"/>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c r="A388" s="150"/>
      <c r="B388" s="150"/>
      <c r="C388" s="150"/>
      <c r="D388" s="209"/>
      <c r="E388" s="209"/>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c r="A389" s="150"/>
      <c r="B389" s="150"/>
      <c r="C389" s="150"/>
      <c r="D389" s="209"/>
      <c r="E389" s="209"/>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c r="A390" s="150"/>
      <c r="B390" s="150"/>
      <c r="C390" s="150"/>
      <c r="D390" s="209"/>
      <c r="E390" s="209"/>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c r="A391" s="150"/>
      <c r="B391" s="150"/>
      <c r="C391" s="150"/>
      <c r="D391" s="209"/>
      <c r="E391" s="209"/>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c r="A392" s="150"/>
      <c r="B392" s="150"/>
      <c r="C392" s="150"/>
      <c r="D392" s="209"/>
      <c r="E392" s="209"/>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c r="A393" s="150"/>
      <c r="B393" s="150"/>
      <c r="C393" s="150"/>
      <c r="D393" s="209"/>
      <c r="E393" s="209"/>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c r="A394" s="150"/>
      <c r="B394" s="150"/>
      <c r="C394" s="150"/>
      <c r="D394" s="209"/>
      <c r="E394" s="209"/>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c r="A395" s="150"/>
      <c r="B395" s="150"/>
      <c r="C395" s="150"/>
      <c r="D395" s="209"/>
      <c r="E395" s="209"/>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c r="A396" s="150"/>
      <c r="B396" s="150"/>
      <c r="C396" s="150"/>
      <c r="D396" s="209"/>
      <c r="E396" s="209"/>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c r="A397" s="150"/>
      <c r="B397" s="150"/>
      <c r="C397" s="150"/>
      <c r="D397" s="209"/>
      <c r="E397" s="209"/>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c r="A398" s="150"/>
      <c r="B398" s="150"/>
      <c r="C398" s="150"/>
      <c r="D398" s="209"/>
      <c r="E398" s="209"/>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c r="A399" s="150"/>
      <c r="B399" s="150"/>
      <c r="C399" s="150"/>
      <c r="D399" s="209"/>
      <c r="E399" s="209"/>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c r="A400" s="150"/>
      <c r="B400" s="150"/>
      <c r="C400" s="150"/>
      <c r="D400" s="209"/>
      <c r="E400" s="209"/>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c r="A401" s="150"/>
      <c r="B401" s="150"/>
      <c r="C401" s="150"/>
      <c r="D401" s="209"/>
      <c r="E401" s="209"/>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c r="A402" s="150"/>
      <c r="B402" s="150"/>
      <c r="C402" s="150"/>
      <c r="D402" s="209"/>
      <c r="E402" s="209"/>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c r="A403" s="150"/>
      <c r="B403" s="150"/>
      <c r="C403" s="150"/>
      <c r="D403" s="209"/>
      <c r="E403" s="209"/>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c r="A404" s="150"/>
      <c r="B404" s="150"/>
      <c r="C404" s="150"/>
      <c r="D404" s="209"/>
      <c r="E404" s="209"/>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c r="A405" s="150"/>
      <c r="B405" s="150"/>
      <c r="C405" s="150"/>
      <c r="D405" s="209"/>
      <c r="E405" s="209"/>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c r="A406" s="150"/>
      <c r="B406" s="150"/>
      <c r="C406" s="150"/>
      <c r="D406" s="209"/>
      <c r="E406" s="209"/>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c r="A407" s="150"/>
      <c r="B407" s="150"/>
      <c r="C407" s="150"/>
      <c r="D407" s="209"/>
      <c r="E407" s="209"/>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c r="A408" s="150"/>
      <c r="B408" s="150"/>
      <c r="C408" s="150"/>
      <c r="D408" s="209"/>
      <c r="E408" s="209"/>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c r="A409" s="150"/>
      <c r="B409" s="150"/>
      <c r="C409" s="150"/>
      <c r="D409" s="209"/>
      <c r="E409" s="209"/>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c r="A410" s="150"/>
      <c r="B410" s="150"/>
      <c r="C410" s="150"/>
      <c r="D410" s="209"/>
      <c r="E410" s="209"/>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c r="A411" s="150"/>
      <c r="B411" s="150"/>
      <c r="C411" s="150"/>
      <c r="D411" s="209"/>
      <c r="E411" s="209"/>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c r="A412" s="150"/>
      <c r="B412" s="150"/>
      <c r="C412" s="150"/>
      <c r="D412" s="209"/>
      <c r="E412" s="209"/>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c r="A413" s="150"/>
      <c r="B413" s="150"/>
      <c r="C413" s="150"/>
      <c r="D413" s="209"/>
      <c r="E413" s="209"/>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c r="A414" s="150"/>
      <c r="B414" s="150"/>
      <c r="C414" s="150"/>
      <c r="D414" s="209"/>
      <c r="E414" s="209"/>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c r="A415" s="150"/>
      <c r="B415" s="150"/>
      <c r="C415" s="150"/>
      <c r="D415" s="209"/>
      <c r="E415" s="209"/>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c r="A416" s="150"/>
      <c r="B416" s="150"/>
      <c r="C416" s="150"/>
      <c r="D416" s="209"/>
      <c r="E416" s="209"/>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c r="A417" s="150"/>
      <c r="B417" s="150"/>
      <c r="C417" s="150"/>
      <c r="D417" s="209"/>
      <c r="E417" s="209"/>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c r="A418" s="150"/>
      <c r="B418" s="150"/>
      <c r="C418" s="150"/>
      <c r="D418" s="209"/>
      <c r="E418" s="209"/>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c r="A419" s="150"/>
      <c r="B419" s="150"/>
      <c r="C419" s="150"/>
      <c r="D419" s="209"/>
      <c r="E419" s="209"/>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c r="A420" s="150"/>
      <c r="B420" s="150"/>
      <c r="C420" s="150"/>
      <c r="D420" s="209"/>
      <c r="E420" s="209"/>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c r="A421" s="150"/>
      <c r="B421" s="150"/>
      <c r="C421" s="150"/>
      <c r="D421" s="209"/>
      <c r="E421" s="209"/>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c r="A422" s="150"/>
      <c r="B422" s="150"/>
      <c r="C422" s="150"/>
      <c r="D422" s="209"/>
      <c r="E422" s="209"/>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c r="A423" s="150"/>
      <c r="B423" s="150"/>
      <c r="C423" s="150"/>
      <c r="D423" s="209"/>
      <c r="E423" s="209"/>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c r="A424" s="150"/>
      <c r="B424" s="150"/>
      <c r="C424" s="150"/>
      <c r="D424" s="209"/>
      <c r="E424" s="209"/>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c r="A425" s="150"/>
      <c r="B425" s="150"/>
      <c r="C425" s="150"/>
      <c r="D425" s="209"/>
      <c r="E425" s="209"/>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c r="A426" s="150"/>
      <c r="B426" s="150"/>
      <c r="C426" s="150"/>
      <c r="D426" s="209"/>
      <c r="E426" s="209"/>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c r="A427" s="150"/>
      <c r="B427" s="150"/>
      <c r="C427" s="150"/>
      <c r="D427" s="209"/>
      <c r="E427" s="209"/>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c r="A428" s="150"/>
      <c r="B428" s="150"/>
      <c r="C428" s="150"/>
      <c r="D428" s="209"/>
      <c r="E428" s="209"/>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c r="A429" s="150"/>
      <c r="B429" s="150"/>
      <c r="C429" s="150"/>
      <c r="D429" s="209"/>
      <c r="E429" s="209"/>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c r="A430" s="150"/>
      <c r="B430" s="150"/>
      <c r="C430" s="150"/>
      <c r="D430" s="209"/>
      <c r="E430" s="209"/>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c r="A431" s="150"/>
      <c r="B431" s="150"/>
      <c r="C431" s="150"/>
      <c r="D431" s="209"/>
      <c r="E431" s="209"/>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c r="A432" s="150"/>
      <c r="B432" s="150"/>
      <c r="C432" s="150"/>
      <c r="D432" s="209"/>
      <c r="E432" s="209"/>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c r="A433" s="150"/>
      <c r="B433" s="150"/>
      <c r="C433" s="150"/>
      <c r="D433" s="209"/>
      <c r="E433" s="209"/>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c r="A434" s="150"/>
      <c r="B434" s="150"/>
      <c r="C434" s="150"/>
      <c r="D434" s="209"/>
      <c r="E434" s="209"/>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c r="A435" s="150"/>
      <c r="B435" s="150"/>
      <c r="C435" s="150"/>
      <c r="D435" s="209"/>
      <c r="E435" s="209"/>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c r="A436" s="150"/>
      <c r="B436" s="150"/>
      <c r="C436" s="150"/>
      <c r="D436" s="209"/>
      <c r="E436" s="209"/>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c r="A437" s="150"/>
      <c r="B437" s="150"/>
      <c r="C437" s="150"/>
      <c r="D437" s="209"/>
      <c r="E437" s="209"/>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c r="A438" s="150"/>
      <c r="B438" s="150"/>
      <c r="C438" s="150"/>
      <c r="D438" s="209"/>
      <c r="E438" s="209"/>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c r="A439" s="150"/>
      <c r="B439" s="150"/>
      <c r="C439" s="150"/>
      <c r="D439" s="209"/>
      <c r="E439" s="209"/>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c r="A440" s="150"/>
      <c r="B440" s="150"/>
      <c r="C440" s="150"/>
      <c r="D440" s="209"/>
      <c r="E440" s="209"/>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c r="A441" s="150"/>
      <c r="B441" s="150"/>
      <c r="C441" s="150"/>
      <c r="D441" s="209"/>
      <c r="E441" s="209"/>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c r="A442" s="150"/>
      <c r="B442" s="150"/>
      <c r="C442" s="150"/>
      <c r="D442" s="209"/>
      <c r="E442" s="209"/>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c r="A443" s="150"/>
      <c r="B443" s="150"/>
      <c r="C443" s="150"/>
      <c r="D443" s="209"/>
      <c r="E443" s="209"/>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c r="A444" s="150"/>
      <c r="B444" s="150"/>
      <c r="C444" s="150"/>
      <c r="D444" s="209"/>
      <c r="E444" s="209"/>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c r="A445" s="150"/>
      <c r="B445" s="150"/>
      <c r="C445" s="150"/>
      <c r="D445" s="209"/>
      <c r="E445" s="209"/>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c r="A446" s="150"/>
      <c r="B446" s="150"/>
      <c r="C446" s="150"/>
      <c r="D446" s="209"/>
      <c r="E446" s="209"/>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c r="A447" s="150"/>
      <c r="B447" s="150"/>
      <c r="C447" s="150"/>
      <c r="D447" s="209"/>
      <c r="E447" s="209"/>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c r="A448" s="150"/>
      <c r="B448" s="150"/>
      <c r="C448" s="150"/>
      <c r="D448" s="209"/>
      <c r="E448" s="209"/>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c r="A449" s="150"/>
      <c r="B449" s="150"/>
      <c r="C449" s="150"/>
      <c r="D449" s="209"/>
      <c r="E449" s="209"/>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c r="A450" s="150"/>
      <c r="B450" s="150"/>
      <c r="C450" s="150"/>
      <c r="D450" s="209"/>
      <c r="E450" s="209"/>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c r="A451" s="150"/>
      <c r="B451" s="150"/>
      <c r="C451" s="150"/>
      <c r="D451" s="209"/>
      <c r="E451" s="209"/>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c r="A452" s="150"/>
      <c r="B452" s="150"/>
      <c r="C452" s="150"/>
      <c r="D452" s="209"/>
      <c r="E452" s="209"/>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c r="A453" s="150"/>
      <c r="B453" s="150"/>
      <c r="C453" s="150"/>
      <c r="D453" s="209"/>
      <c r="E453" s="209"/>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c r="A454" s="150"/>
      <c r="B454" s="150"/>
      <c r="C454" s="150"/>
      <c r="D454" s="209"/>
      <c r="E454" s="209"/>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c r="A455" s="150"/>
      <c r="B455" s="150"/>
      <c r="C455" s="150"/>
      <c r="D455" s="209"/>
      <c r="E455" s="209"/>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c r="A456" s="150"/>
      <c r="B456" s="150"/>
      <c r="C456" s="150"/>
      <c r="D456" s="209"/>
      <c r="E456" s="209"/>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c r="A457" s="150"/>
      <c r="B457" s="150"/>
      <c r="C457" s="150"/>
      <c r="D457" s="209"/>
      <c r="E457" s="209"/>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c r="A458" s="150"/>
      <c r="B458" s="150"/>
      <c r="C458" s="150"/>
      <c r="D458" s="209"/>
      <c r="E458" s="209"/>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c r="A459" s="150"/>
      <c r="B459" s="150"/>
      <c r="C459" s="150"/>
      <c r="D459" s="209"/>
      <c r="E459" s="209"/>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c r="A460" s="150"/>
      <c r="B460" s="150"/>
      <c r="C460" s="150"/>
      <c r="D460" s="209"/>
      <c r="E460" s="209"/>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c r="A461" s="150"/>
      <c r="B461" s="150"/>
      <c r="C461" s="150"/>
      <c r="D461" s="209"/>
      <c r="E461" s="209"/>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c r="A462" s="150"/>
      <c r="B462" s="150"/>
      <c r="C462" s="150"/>
      <c r="D462" s="209"/>
      <c r="E462" s="209"/>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c r="A463" s="150"/>
      <c r="B463" s="150"/>
      <c r="C463" s="150"/>
      <c r="D463" s="209"/>
      <c r="E463" s="209"/>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c r="A464" s="150"/>
      <c r="B464" s="150"/>
      <c r="C464" s="150"/>
      <c r="D464" s="209"/>
      <c r="E464" s="209"/>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c r="A465" s="150"/>
      <c r="B465" s="150"/>
      <c r="C465" s="150"/>
      <c r="D465" s="209"/>
      <c r="E465" s="209"/>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c r="A466" s="150"/>
      <c r="B466" s="150"/>
      <c r="C466" s="150"/>
      <c r="D466" s="209"/>
      <c r="E466" s="209"/>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c r="A467" s="150"/>
      <c r="B467" s="150"/>
      <c r="C467" s="150"/>
      <c r="D467" s="209"/>
      <c r="E467" s="209"/>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c r="A468" s="150"/>
      <c r="B468" s="150"/>
      <c r="C468" s="150"/>
      <c r="D468" s="209"/>
      <c r="E468" s="209"/>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c r="A469" s="150"/>
      <c r="B469" s="150"/>
      <c r="C469" s="150"/>
      <c r="D469" s="209"/>
      <c r="E469" s="209"/>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c r="A470" s="150"/>
      <c r="B470" s="150"/>
      <c r="C470" s="150"/>
      <c r="D470" s="209"/>
      <c r="E470" s="209"/>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c r="A471" s="150"/>
      <c r="B471" s="150"/>
      <c r="C471" s="150"/>
      <c r="D471" s="209"/>
      <c r="E471" s="209"/>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c r="A472" s="150"/>
      <c r="B472" s="150"/>
      <c r="C472" s="150"/>
      <c r="D472" s="209"/>
      <c r="E472" s="209"/>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c r="A473" s="150"/>
      <c r="B473" s="150"/>
      <c r="C473" s="150"/>
      <c r="D473" s="209"/>
      <c r="E473" s="209"/>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c r="A474" s="150"/>
      <c r="B474" s="150"/>
      <c r="C474" s="150"/>
      <c r="D474" s="209"/>
      <c r="E474" s="209"/>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c r="A475" s="150"/>
      <c r="B475" s="150"/>
      <c r="C475" s="150"/>
      <c r="D475" s="209"/>
      <c r="E475" s="209"/>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c r="A476" s="150"/>
      <c r="B476" s="150"/>
      <c r="C476" s="150"/>
      <c r="D476" s="209"/>
      <c r="E476" s="209"/>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c r="A477" s="150"/>
      <c r="B477" s="150"/>
      <c r="C477" s="150"/>
      <c r="D477" s="209"/>
      <c r="E477" s="209"/>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c r="A478" s="150"/>
      <c r="B478" s="150"/>
      <c r="C478" s="150"/>
      <c r="D478" s="209"/>
      <c r="E478" s="209"/>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c r="A479" s="150"/>
      <c r="B479" s="150"/>
      <c r="C479" s="150"/>
      <c r="D479" s="209"/>
      <c r="E479" s="209"/>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c r="A480" s="150"/>
      <c r="B480" s="150"/>
      <c r="C480" s="150"/>
      <c r="D480" s="209"/>
      <c r="E480" s="209"/>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c r="A481" s="150"/>
      <c r="B481" s="150"/>
      <c r="C481" s="150"/>
      <c r="D481" s="209"/>
      <c r="E481" s="209"/>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c r="A482" s="150"/>
      <c r="B482" s="150"/>
      <c r="C482" s="150"/>
      <c r="D482" s="209"/>
      <c r="E482" s="209"/>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c r="A483" s="150"/>
      <c r="B483" s="150"/>
      <c r="C483" s="150"/>
      <c r="D483" s="209"/>
      <c r="E483" s="209"/>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c r="A484" s="150"/>
      <c r="B484" s="150"/>
      <c r="C484" s="150"/>
      <c r="D484" s="209"/>
      <c r="E484" s="209"/>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c r="A485" s="150"/>
      <c r="B485" s="150"/>
      <c r="C485" s="150"/>
      <c r="D485" s="209"/>
      <c r="E485" s="209"/>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c r="A486" s="150"/>
      <c r="B486" s="150"/>
      <c r="C486" s="150"/>
      <c r="D486" s="209"/>
      <c r="E486" s="209"/>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c r="A487" s="150"/>
      <c r="B487" s="150"/>
      <c r="C487" s="150"/>
      <c r="D487" s="209"/>
      <c r="E487" s="209"/>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c r="A488" s="150"/>
      <c r="B488" s="150"/>
      <c r="C488" s="150"/>
      <c r="D488" s="209"/>
      <c r="E488" s="209"/>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c r="A489" s="150"/>
      <c r="B489" s="150"/>
      <c r="C489" s="150"/>
      <c r="D489" s="209"/>
      <c r="E489" s="209"/>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c r="A490" s="150"/>
      <c r="B490" s="150"/>
      <c r="C490" s="150"/>
      <c r="D490" s="209"/>
      <c r="E490" s="209"/>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c r="A491" s="150"/>
      <c r="B491" s="150"/>
      <c r="C491" s="150"/>
      <c r="D491" s="209"/>
      <c r="E491" s="209"/>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c r="A492" s="150"/>
      <c r="B492" s="150"/>
      <c r="C492" s="150"/>
      <c r="D492" s="209"/>
      <c r="E492" s="209"/>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c r="A493" s="150"/>
      <c r="B493" s="150"/>
      <c r="C493" s="150"/>
      <c r="D493" s="209"/>
      <c r="E493" s="209"/>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c r="A494" s="150"/>
      <c r="B494" s="150"/>
      <c r="C494" s="150"/>
      <c r="D494" s="209"/>
      <c r="E494" s="209"/>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c r="A495" s="150"/>
      <c r="B495" s="150"/>
      <c r="C495" s="150"/>
      <c r="D495" s="209"/>
      <c r="E495" s="209"/>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c r="A496" s="150"/>
      <c r="B496" s="150"/>
      <c r="C496" s="150"/>
      <c r="D496" s="209"/>
      <c r="E496" s="209"/>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c r="A497" s="150"/>
      <c r="B497" s="150"/>
      <c r="C497" s="150"/>
      <c r="D497" s="209"/>
      <c r="E497" s="209"/>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c r="A498" s="150"/>
      <c r="B498" s="150"/>
      <c r="C498" s="150"/>
      <c r="D498" s="209"/>
      <c r="E498" s="209"/>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c r="A499" s="150"/>
      <c r="B499" s="150"/>
      <c r="C499" s="150"/>
      <c r="D499" s="209"/>
      <c r="E499" s="209"/>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c r="A500" s="150"/>
      <c r="B500" s="150"/>
      <c r="C500" s="150"/>
      <c r="D500" s="209"/>
      <c r="E500" s="209"/>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c r="A501" s="150"/>
      <c r="B501" s="150"/>
      <c r="C501" s="150"/>
      <c r="D501" s="209"/>
      <c r="E501" s="209"/>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c r="A502" s="150"/>
      <c r="B502" s="150"/>
      <c r="C502" s="150"/>
      <c r="D502" s="209"/>
      <c r="E502" s="209"/>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c r="A503" s="150"/>
      <c r="B503" s="150"/>
      <c r="C503" s="150"/>
      <c r="D503" s="209"/>
      <c r="E503" s="209"/>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c r="A504" s="150"/>
      <c r="B504" s="150"/>
      <c r="C504" s="150"/>
      <c r="D504" s="209"/>
      <c r="E504" s="209"/>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c r="A505" s="150"/>
      <c r="B505" s="150"/>
      <c r="C505" s="150"/>
      <c r="D505" s="209"/>
      <c r="E505" s="209"/>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c r="A506" s="150"/>
      <c r="B506" s="150"/>
      <c r="C506" s="150"/>
      <c r="D506" s="209"/>
      <c r="E506" s="209"/>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c r="A507" s="150"/>
      <c r="B507" s="150"/>
      <c r="C507" s="150"/>
      <c r="D507" s="209"/>
      <c r="E507" s="209"/>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c r="A508" s="150"/>
      <c r="B508" s="150"/>
      <c r="C508" s="150"/>
      <c r="D508" s="209"/>
      <c r="E508" s="209"/>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c r="A509" s="150"/>
      <c r="B509" s="150"/>
      <c r="C509" s="150"/>
      <c r="D509" s="209"/>
      <c r="E509" s="209"/>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c r="A510" s="150"/>
      <c r="B510" s="150"/>
      <c r="C510" s="150"/>
      <c r="D510" s="209"/>
      <c r="E510" s="209"/>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c r="A511" s="150"/>
      <c r="B511" s="150"/>
      <c r="C511" s="150"/>
      <c r="D511" s="209"/>
      <c r="E511" s="209"/>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c r="A512" s="150"/>
      <c r="B512" s="150"/>
      <c r="C512" s="150"/>
      <c r="D512" s="209"/>
      <c r="E512" s="209"/>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c r="A513" s="150"/>
      <c r="B513" s="150"/>
      <c r="C513" s="150"/>
      <c r="D513" s="209"/>
      <c r="E513" s="209"/>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c r="A514" s="150"/>
      <c r="B514" s="150"/>
      <c r="C514" s="150"/>
      <c r="D514" s="209"/>
      <c r="E514" s="209"/>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c r="A515" s="150"/>
      <c r="B515" s="150"/>
      <c r="C515" s="150"/>
      <c r="D515" s="209"/>
      <c r="E515" s="209"/>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c r="A516" s="150"/>
      <c r="B516" s="150"/>
      <c r="C516" s="150"/>
      <c r="D516" s="209"/>
      <c r="E516" s="209"/>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c r="A517" s="150"/>
      <c r="B517" s="150"/>
      <c r="C517" s="150"/>
      <c r="D517" s="209"/>
      <c r="E517" s="209"/>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c r="A518" s="150"/>
      <c r="B518" s="150"/>
      <c r="C518" s="150"/>
      <c r="D518" s="209"/>
      <c r="E518" s="209"/>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c r="A519" s="150"/>
      <c r="B519" s="150"/>
      <c r="C519" s="150"/>
      <c r="D519" s="209"/>
      <c r="E519" s="209"/>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c r="A520" s="150"/>
      <c r="B520" s="150"/>
      <c r="C520" s="150"/>
      <c r="D520" s="209"/>
      <c r="E520" s="209"/>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c r="A521" s="150"/>
      <c r="B521" s="150"/>
      <c r="C521" s="150"/>
      <c r="D521" s="209"/>
      <c r="E521" s="209"/>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c r="A522" s="150"/>
      <c r="B522" s="150"/>
      <c r="C522" s="150"/>
      <c r="D522" s="209"/>
      <c r="E522" s="209"/>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c r="A523" s="150"/>
      <c r="B523" s="150"/>
      <c r="C523" s="150"/>
      <c r="D523" s="209"/>
      <c r="E523" s="209"/>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c r="A524" s="150"/>
      <c r="B524" s="150"/>
      <c r="C524" s="150"/>
      <c r="D524" s="209"/>
      <c r="E524" s="209"/>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c r="A525" s="150"/>
      <c r="B525" s="150"/>
      <c r="C525" s="150"/>
      <c r="D525" s="209"/>
      <c r="E525" s="209"/>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c r="A526" s="150"/>
      <c r="B526" s="150"/>
      <c r="C526" s="150"/>
      <c r="D526" s="209"/>
      <c r="E526" s="209"/>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c r="A527" s="150"/>
      <c r="B527" s="150"/>
      <c r="C527" s="150"/>
      <c r="D527" s="209"/>
      <c r="E527" s="209"/>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c r="A528" s="150"/>
      <c r="B528" s="150"/>
      <c r="C528" s="150"/>
      <c r="D528" s="209"/>
      <c r="E528" s="209"/>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c r="A529" s="150"/>
      <c r="B529" s="150"/>
      <c r="C529" s="150"/>
      <c r="D529" s="209"/>
      <c r="E529" s="209"/>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c r="A530" s="150"/>
      <c r="B530" s="150"/>
      <c r="C530" s="150"/>
      <c r="D530" s="209"/>
      <c r="E530" s="209"/>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c r="A531" s="150"/>
      <c r="B531" s="150"/>
      <c r="C531" s="150"/>
      <c r="D531" s="209"/>
      <c r="E531" s="209"/>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c r="A532" s="150"/>
      <c r="B532" s="150"/>
      <c r="C532" s="150"/>
      <c r="D532" s="209"/>
      <c r="E532" s="209"/>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c r="A533" s="150"/>
      <c r="B533" s="150"/>
      <c r="C533" s="150"/>
      <c r="D533" s="209"/>
      <c r="E533" s="209"/>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c r="A534" s="150"/>
      <c r="B534" s="150"/>
      <c r="C534" s="150"/>
      <c r="D534" s="209"/>
      <c r="E534" s="209"/>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c r="A535" s="150"/>
      <c r="B535" s="150"/>
      <c r="C535" s="150"/>
      <c r="D535" s="209"/>
      <c r="E535" s="209"/>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c r="A536" s="150"/>
      <c r="B536" s="150"/>
      <c r="C536" s="150"/>
      <c r="D536" s="209"/>
      <c r="E536" s="209"/>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c r="A537" s="150"/>
      <c r="B537" s="150"/>
      <c r="C537" s="150"/>
      <c r="D537" s="209"/>
      <c r="E537" s="209"/>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c r="A538" s="150"/>
      <c r="B538" s="150"/>
      <c r="C538" s="150"/>
      <c r="D538" s="209"/>
      <c r="E538" s="209"/>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c r="A539" s="150"/>
      <c r="B539" s="150"/>
      <c r="C539" s="150"/>
      <c r="D539" s="209"/>
      <c r="E539" s="209"/>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c r="A540" s="150"/>
      <c r="B540" s="150"/>
      <c r="C540" s="150"/>
      <c r="D540" s="209"/>
      <c r="E540" s="209"/>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c r="A541" s="150"/>
      <c r="B541" s="150"/>
      <c r="C541" s="150"/>
      <c r="D541" s="209"/>
      <c r="E541" s="209"/>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c r="A542" s="150"/>
      <c r="B542" s="150"/>
      <c r="C542" s="150"/>
      <c r="D542" s="209"/>
      <c r="E542" s="209"/>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c r="A543" s="150"/>
      <c r="B543" s="150"/>
      <c r="C543" s="150"/>
      <c r="D543" s="209"/>
      <c r="E543" s="209"/>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c r="A544" s="150"/>
      <c r="B544" s="150"/>
      <c r="C544" s="150"/>
      <c r="D544" s="209"/>
      <c r="E544" s="209"/>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c r="A545" s="150"/>
      <c r="B545" s="150"/>
      <c r="C545" s="150"/>
      <c r="D545" s="209"/>
      <c r="E545" s="209"/>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c r="A546" s="150"/>
      <c r="B546" s="150"/>
      <c r="C546" s="150"/>
      <c r="D546" s="209"/>
      <c r="E546" s="209"/>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c r="A547" s="150"/>
      <c r="B547" s="150"/>
      <c r="C547" s="150"/>
      <c r="D547" s="209"/>
      <c r="E547" s="209"/>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c r="A548" s="150"/>
      <c r="B548" s="150"/>
      <c r="C548" s="150"/>
      <c r="D548" s="209"/>
      <c r="E548" s="209"/>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c r="A549" s="150"/>
      <c r="B549" s="150"/>
      <c r="C549" s="150"/>
      <c r="D549" s="209"/>
      <c r="E549" s="209"/>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c r="A550" s="150"/>
      <c r="B550" s="150"/>
      <c r="C550" s="150"/>
      <c r="D550" s="209"/>
      <c r="E550" s="209"/>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c r="A551" s="150"/>
      <c r="B551" s="150"/>
      <c r="C551" s="150"/>
      <c r="D551" s="209"/>
      <c r="E551" s="209"/>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c r="A552" s="150"/>
      <c r="B552" s="150"/>
      <c r="C552" s="150"/>
      <c r="D552" s="209"/>
      <c r="E552" s="209"/>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c r="A553" s="150"/>
      <c r="B553" s="150"/>
      <c r="C553" s="150"/>
      <c r="D553" s="209"/>
      <c r="E553" s="209"/>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c r="A554" s="150"/>
      <c r="B554" s="150"/>
      <c r="C554" s="150"/>
      <c r="D554" s="209"/>
      <c r="E554" s="209"/>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c r="A555" s="150"/>
      <c r="B555" s="150"/>
      <c r="C555" s="150"/>
      <c r="D555" s="209"/>
      <c r="E555" s="209"/>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c r="A556" s="150"/>
      <c r="B556" s="150"/>
      <c r="C556" s="150"/>
      <c r="D556" s="209"/>
      <c r="E556" s="209"/>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c r="A557" s="150"/>
      <c r="B557" s="150"/>
      <c r="C557" s="150"/>
      <c r="D557" s="209"/>
      <c r="E557" s="209"/>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c r="A558" s="150"/>
      <c r="B558" s="150"/>
      <c r="C558" s="150"/>
      <c r="D558" s="209"/>
      <c r="E558" s="209"/>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c r="A559" s="150"/>
      <c r="B559" s="150"/>
      <c r="C559" s="150"/>
      <c r="D559" s="209"/>
      <c r="E559" s="209"/>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c r="A560" s="150"/>
      <c r="B560" s="150"/>
      <c r="C560" s="150"/>
      <c r="D560" s="209"/>
      <c r="E560" s="209"/>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c r="A561" s="150"/>
      <c r="B561" s="150"/>
      <c r="C561" s="150"/>
      <c r="D561" s="209"/>
      <c r="E561" s="209"/>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c r="A562" s="150"/>
      <c r="B562" s="150"/>
      <c r="C562" s="150"/>
      <c r="D562" s="209"/>
      <c r="E562" s="209"/>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c r="A563" s="150"/>
      <c r="B563" s="150"/>
      <c r="C563" s="150"/>
      <c r="D563" s="209"/>
      <c r="E563" s="209"/>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c r="A564" s="150"/>
      <c r="B564" s="150"/>
      <c r="C564" s="150"/>
      <c r="D564" s="209"/>
      <c r="E564" s="209"/>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c r="A565" s="150"/>
      <c r="B565" s="150"/>
      <c r="C565" s="150"/>
      <c r="D565" s="209"/>
      <c r="E565" s="209"/>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c r="A566" s="150"/>
      <c r="B566" s="150"/>
      <c r="C566" s="150"/>
      <c r="D566" s="209"/>
      <c r="E566" s="209"/>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c r="A567" s="150"/>
      <c r="B567" s="150"/>
      <c r="C567" s="150"/>
      <c r="D567" s="209"/>
      <c r="E567" s="209"/>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c r="A568" s="150"/>
      <c r="B568" s="150"/>
      <c r="C568" s="150"/>
      <c r="D568" s="209"/>
      <c r="E568" s="209"/>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c r="A569" s="150"/>
      <c r="B569" s="150"/>
      <c r="C569" s="150"/>
      <c r="D569" s="209"/>
      <c r="E569" s="209"/>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c r="A570" s="150"/>
      <c r="B570" s="150"/>
      <c r="C570" s="150"/>
      <c r="D570" s="209"/>
      <c r="E570" s="209"/>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c r="A571" s="150"/>
      <c r="B571" s="150"/>
      <c r="C571" s="150"/>
      <c r="D571" s="209"/>
      <c r="E571" s="209"/>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c r="A572" s="150"/>
      <c r="B572" s="150"/>
      <c r="C572" s="150"/>
      <c r="D572" s="209"/>
      <c r="E572" s="209"/>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c r="A573" s="150"/>
      <c r="B573" s="150"/>
      <c r="C573" s="150"/>
      <c r="D573" s="209"/>
      <c r="E573" s="209"/>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c r="A574" s="150"/>
      <c r="B574" s="150"/>
      <c r="C574" s="150"/>
      <c r="D574" s="209"/>
      <c r="E574" s="209"/>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c r="A575" s="150"/>
      <c r="B575" s="150"/>
      <c r="C575" s="150"/>
      <c r="D575" s="209"/>
      <c r="E575" s="209"/>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c r="A576" s="150"/>
      <c r="B576" s="150"/>
      <c r="C576" s="150"/>
      <c r="D576" s="209"/>
      <c r="E576" s="209"/>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c r="A577" s="150"/>
      <c r="B577" s="150"/>
      <c r="C577" s="150"/>
      <c r="D577" s="209"/>
      <c r="E577" s="209"/>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c r="A578" s="150"/>
      <c r="B578" s="150"/>
      <c r="C578" s="150"/>
      <c r="D578" s="209"/>
      <c r="E578" s="209"/>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c r="A579" s="150"/>
      <c r="B579" s="150"/>
      <c r="C579" s="150"/>
      <c r="D579" s="209"/>
      <c r="E579" s="209"/>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c r="A580" s="150"/>
      <c r="B580" s="150"/>
      <c r="C580" s="150"/>
      <c r="D580" s="209"/>
      <c r="E580" s="209"/>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c r="A581" s="150"/>
      <c r="B581" s="150"/>
      <c r="C581" s="150"/>
      <c r="D581" s="209"/>
      <c r="E581" s="209"/>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c r="A582" s="150"/>
      <c r="B582" s="150"/>
      <c r="C582" s="150"/>
      <c r="D582" s="209"/>
      <c r="E582" s="209"/>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c r="A583" s="150"/>
      <c r="B583" s="150"/>
      <c r="C583" s="150"/>
      <c r="D583" s="209"/>
      <c r="E583" s="209"/>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c r="A584" s="150"/>
      <c r="B584" s="150"/>
      <c r="C584" s="150"/>
      <c r="D584" s="209"/>
      <c r="E584" s="209"/>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c r="A585" s="150"/>
      <c r="B585" s="150"/>
      <c r="C585" s="150"/>
      <c r="D585" s="209"/>
      <c r="E585" s="209"/>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c r="A586" s="150"/>
      <c r="B586" s="150"/>
      <c r="C586" s="150"/>
      <c r="D586" s="209"/>
      <c r="E586" s="209"/>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c r="A587" s="150"/>
      <c r="B587" s="150"/>
      <c r="C587" s="150"/>
      <c r="D587" s="209"/>
      <c r="E587" s="209"/>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c r="A588" s="150"/>
      <c r="B588" s="150"/>
      <c r="C588" s="150"/>
      <c r="D588" s="209"/>
      <c r="E588" s="209"/>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c r="A589" s="150"/>
      <c r="B589" s="150"/>
      <c r="C589" s="150"/>
      <c r="D589" s="209"/>
      <c r="E589" s="209"/>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c r="A590" s="150"/>
      <c r="B590" s="150"/>
      <c r="C590" s="150"/>
      <c r="D590" s="209"/>
      <c r="E590" s="209"/>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c r="A591" s="150"/>
      <c r="B591" s="150"/>
      <c r="C591" s="150"/>
      <c r="D591" s="209"/>
      <c r="E591" s="209"/>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c r="A592" s="150"/>
      <c r="B592" s="150"/>
      <c r="C592" s="150"/>
      <c r="D592" s="209"/>
      <c r="E592" s="209"/>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c r="A593" s="150"/>
      <c r="B593" s="150"/>
      <c r="C593" s="150"/>
      <c r="D593" s="209"/>
      <c r="E593" s="209"/>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c r="A594" s="150"/>
      <c r="B594" s="150"/>
      <c r="C594" s="150"/>
      <c r="D594" s="209"/>
      <c r="E594" s="209"/>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c r="A595" s="150"/>
      <c r="B595" s="150"/>
      <c r="C595" s="150"/>
      <c r="D595" s="209"/>
      <c r="E595" s="209"/>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c r="A596" s="150"/>
      <c r="B596" s="150"/>
      <c r="C596" s="150"/>
      <c r="D596" s="209"/>
      <c r="E596" s="209"/>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c r="A597" s="150"/>
      <c r="B597" s="150"/>
      <c r="C597" s="150"/>
      <c r="D597" s="209"/>
      <c r="E597" s="209"/>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c r="A598" s="150"/>
      <c r="B598" s="150"/>
      <c r="C598" s="150"/>
      <c r="D598" s="209"/>
      <c r="E598" s="209"/>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c r="A599" s="150"/>
      <c r="B599" s="150"/>
      <c r="C599" s="150"/>
      <c r="D599" s="209"/>
      <c r="E599" s="209"/>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c r="A600" s="150"/>
      <c r="B600" s="150"/>
      <c r="C600" s="150"/>
      <c r="D600" s="209"/>
      <c r="E600" s="209"/>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c r="A601" s="150"/>
      <c r="B601" s="150"/>
      <c r="C601" s="150"/>
      <c r="D601" s="209"/>
      <c r="E601" s="209"/>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c r="A602" s="150"/>
      <c r="B602" s="150"/>
      <c r="C602" s="150"/>
      <c r="D602" s="209"/>
      <c r="E602" s="209"/>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c r="A603" s="150"/>
      <c r="B603" s="150"/>
      <c r="C603" s="150"/>
      <c r="D603" s="209"/>
      <c r="E603" s="209"/>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c r="A604" s="150"/>
      <c r="B604" s="150"/>
      <c r="C604" s="150"/>
      <c r="D604" s="209"/>
      <c r="E604" s="209"/>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c r="A605" s="150"/>
      <c r="B605" s="150"/>
      <c r="C605" s="150"/>
      <c r="D605" s="209"/>
      <c r="E605" s="209"/>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c r="A606" s="150"/>
      <c r="B606" s="150"/>
      <c r="C606" s="150"/>
      <c r="D606" s="209"/>
      <c r="E606" s="209"/>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c r="A607" s="150"/>
      <c r="B607" s="150"/>
      <c r="C607" s="150"/>
      <c r="D607" s="209"/>
      <c r="E607" s="209"/>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c r="A608" s="150"/>
      <c r="B608" s="150"/>
      <c r="C608" s="150"/>
      <c r="D608" s="209"/>
      <c r="E608" s="209"/>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c r="A609" s="150"/>
      <c r="B609" s="150"/>
      <c r="C609" s="150"/>
      <c r="D609" s="209"/>
      <c r="E609" s="209"/>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c r="A610" s="150"/>
      <c r="B610" s="150"/>
      <c r="C610" s="150"/>
      <c r="D610" s="209"/>
      <c r="E610" s="209"/>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c r="A611" s="150"/>
      <c r="B611" s="150"/>
      <c r="C611" s="150"/>
      <c r="D611" s="209"/>
      <c r="E611" s="209"/>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c r="A612" s="150"/>
      <c r="B612" s="150"/>
      <c r="C612" s="150"/>
      <c r="D612" s="209"/>
      <c r="E612" s="209"/>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c r="A613" s="150"/>
      <c r="B613" s="150"/>
      <c r="C613" s="150"/>
      <c r="D613" s="209"/>
      <c r="E613" s="209"/>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c r="A614" s="150"/>
      <c r="B614" s="150"/>
      <c r="C614" s="150"/>
      <c r="D614" s="209"/>
      <c r="E614" s="209"/>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c r="A615" s="150"/>
      <c r="B615" s="150"/>
      <c r="C615" s="150"/>
      <c r="D615" s="209"/>
      <c r="E615" s="209"/>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c r="A616" s="150"/>
      <c r="B616" s="150"/>
      <c r="C616" s="150"/>
      <c r="D616" s="209"/>
      <c r="E616" s="209"/>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c r="A617" s="150"/>
      <c r="B617" s="150"/>
      <c r="C617" s="150"/>
      <c r="D617" s="209"/>
      <c r="E617" s="209"/>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c r="A618" s="150"/>
      <c r="B618" s="150"/>
      <c r="C618" s="150"/>
      <c r="D618" s="209"/>
      <c r="E618" s="209"/>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c r="A619" s="150"/>
      <c r="B619" s="150"/>
      <c r="C619" s="150"/>
      <c r="D619" s="209"/>
      <c r="E619" s="209"/>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c r="A620" s="150"/>
      <c r="B620" s="150"/>
      <c r="C620" s="150"/>
      <c r="D620" s="209"/>
      <c r="E620" s="209"/>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c r="A621" s="150"/>
      <c r="B621" s="150"/>
      <c r="C621" s="150"/>
      <c r="D621" s="209"/>
      <c r="E621" s="209"/>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c r="A622" s="150"/>
      <c r="B622" s="150"/>
      <c r="C622" s="150"/>
      <c r="D622" s="209"/>
      <c r="E622" s="209"/>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c r="A623" s="150"/>
      <c r="B623" s="150"/>
      <c r="C623" s="150"/>
      <c r="D623" s="209"/>
      <c r="E623" s="209"/>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c r="A624" s="150"/>
      <c r="B624" s="150"/>
      <c r="C624" s="150"/>
      <c r="D624" s="209"/>
      <c r="E624" s="209"/>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c r="A625" s="150"/>
      <c r="B625" s="150"/>
      <c r="C625" s="150"/>
      <c r="D625" s="209"/>
      <c r="E625" s="209"/>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c r="A626" s="150"/>
      <c r="B626" s="150"/>
      <c r="C626" s="150"/>
      <c r="D626" s="209"/>
      <c r="E626" s="209"/>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c r="A627" s="150"/>
      <c r="B627" s="150"/>
      <c r="C627" s="150"/>
      <c r="D627" s="209"/>
      <c r="E627" s="209"/>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c r="A628" s="150"/>
      <c r="B628" s="150"/>
      <c r="C628" s="150"/>
      <c r="D628" s="209"/>
      <c r="E628" s="209"/>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c r="A629" s="150"/>
      <c r="B629" s="150"/>
      <c r="C629" s="150"/>
      <c r="D629" s="209"/>
      <c r="E629" s="209"/>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c r="A630" s="150"/>
      <c r="B630" s="150"/>
      <c r="C630" s="150"/>
      <c r="D630" s="209"/>
      <c r="E630" s="209"/>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c r="A631" s="150"/>
      <c r="B631" s="150"/>
      <c r="C631" s="150"/>
      <c r="D631" s="209"/>
      <c r="E631" s="209"/>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c r="A632" s="150"/>
      <c r="B632" s="150"/>
      <c r="C632" s="150"/>
      <c r="D632" s="209"/>
      <c r="E632" s="209"/>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c r="A633" s="150"/>
      <c r="B633" s="150"/>
      <c r="C633" s="150"/>
      <c r="D633" s="209"/>
      <c r="E633" s="209"/>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c r="A634" s="150"/>
      <c r="B634" s="150"/>
      <c r="C634" s="150"/>
      <c r="D634" s="209"/>
      <c r="E634" s="209"/>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c r="A635" s="150"/>
      <c r="B635" s="150"/>
      <c r="C635" s="150"/>
      <c r="D635" s="209"/>
      <c r="E635" s="209"/>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c r="A636" s="150"/>
      <c r="B636" s="150"/>
      <c r="C636" s="150"/>
      <c r="D636" s="209"/>
      <c r="E636" s="209"/>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c r="A637" s="150"/>
      <c r="B637" s="150"/>
      <c r="C637" s="150"/>
      <c r="D637" s="209"/>
      <c r="E637" s="209"/>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c r="A638" s="150"/>
      <c r="B638" s="150"/>
      <c r="C638" s="150"/>
      <c r="D638" s="209"/>
      <c r="E638" s="209"/>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c r="A639" s="150"/>
      <c r="B639" s="150"/>
      <c r="C639" s="150"/>
      <c r="D639" s="209"/>
      <c r="E639" s="209"/>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c r="A640" s="150"/>
      <c r="B640" s="150"/>
      <c r="C640" s="150"/>
      <c r="D640" s="209"/>
      <c r="E640" s="209"/>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c r="A641" s="150"/>
      <c r="B641" s="150"/>
      <c r="C641" s="150"/>
      <c r="D641" s="209"/>
      <c r="E641" s="209"/>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c r="A642" s="150"/>
      <c r="B642" s="150"/>
      <c r="C642" s="150"/>
      <c r="D642" s="209"/>
      <c r="E642" s="209"/>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c r="A643" s="150"/>
      <c r="B643" s="150"/>
      <c r="C643" s="150"/>
      <c r="D643" s="209"/>
      <c r="E643" s="209"/>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c r="A644" s="150"/>
      <c r="B644" s="150"/>
      <c r="C644" s="150"/>
      <c r="D644" s="209"/>
      <c r="E644" s="209"/>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c r="A645" s="150"/>
      <c r="B645" s="150"/>
      <c r="C645" s="150"/>
      <c r="D645" s="209"/>
      <c r="E645" s="209"/>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c r="A646" s="150"/>
      <c r="B646" s="150"/>
      <c r="C646" s="150"/>
      <c r="D646" s="209"/>
      <c r="E646" s="209"/>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c r="A647" s="150"/>
      <c r="B647" s="150"/>
      <c r="C647" s="150"/>
      <c r="D647" s="209"/>
      <c r="E647" s="209"/>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c r="A648" s="150"/>
      <c r="B648" s="150"/>
      <c r="C648" s="150"/>
      <c r="D648" s="209"/>
      <c r="E648" s="209"/>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c r="A649" s="150"/>
      <c r="B649" s="150"/>
      <c r="C649" s="150"/>
      <c r="D649" s="209"/>
      <c r="E649" s="209"/>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c r="A650" s="150"/>
      <c r="B650" s="150"/>
      <c r="C650" s="150"/>
      <c r="D650" s="209"/>
      <c r="E650" s="209"/>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c r="A651" s="150"/>
      <c r="B651" s="150"/>
      <c r="C651" s="150"/>
      <c r="D651" s="209"/>
      <c r="E651" s="209"/>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c r="A652" s="150"/>
      <c r="B652" s="150"/>
      <c r="C652" s="150"/>
      <c r="D652" s="209"/>
      <c r="E652" s="209"/>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c r="A653" s="150"/>
      <c r="B653" s="150"/>
      <c r="C653" s="150"/>
      <c r="D653" s="209"/>
      <c r="E653" s="209"/>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c r="A654" s="150"/>
      <c r="B654" s="150"/>
      <c r="C654" s="150"/>
      <c r="D654" s="209"/>
      <c r="E654" s="209"/>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c r="A655" s="150"/>
      <c r="B655" s="150"/>
      <c r="C655" s="150"/>
      <c r="D655" s="209"/>
      <c r="E655" s="209"/>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c r="A656" s="150"/>
      <c r="B656" s="150"/>
      <c r="C656" s="150"/>
      <c r="D656" s="209"/>
      <c r="E656" s="209"/>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c r="A657" s="150"/>
      <c r="B657" s="150"/>
      <c r="C657" s="150"/>
      <c r="D657" s="209"/>
      <c r="E657" s="209"/>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c r="A658" s="150"/>
      <c r="B658" s="150"/>
      <c r="C658" s="150"/>
      <c r="D658" s="209"/>
      <c r="E658" s="209"/>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c r="A659" s="150"/>
      <c r="B659" s="150"/>
      <c r="C659" s="150"/>
      <c r="D659" s="209"/>
      <c r="E659" s="209"/>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c r="A660" s="150"/>
      <c r="B660" s="150"/>
      <c r="C660" s="150"/>
      <c r="D660" s="209"/>
      <c r="E660" s="209"/>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c r="A661" s="150"/>
      <c r="B661" s="150"/>
      <c r="C661" s="150"/>
      <c r="D661" s="209"/>
      <c r="E661" s="209"/>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c r="A662" s="150"/>
      <c r="B662" s="150"/>
      <c r="C662" s="150"/>
      <c r="D662" s="209"/>
      <c r="E662" s="209"/>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c r="A663" s="150"/>
      <c r="B663" s="150"/>
      <c r="C663" s="150"/>
      <c r="D663" s="209"/>
      <c r="E663" s="209"/>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c r="A664" s="150"/>
      <c r="B664" s="150"/>
      <c r="C664" s="150"/>
      <c r="D664" s="209"/>
      <c r="E664" s="209"/>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c r="A665" s="150"/>
      <c r="B665" s="150"/>
      <c r="C665" s="150"/>
      <c r="D665" s="209"/>
      <c r="E665" s="209"/>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c r="A666" s="150"/>
      <c r="B666" s="150"/>
      <c r="C666" s="150"/>
      <c r="D666" s="209"/>
      <c r="E666" s="209"/>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c r="A667" s="150"/>
      <c r="B667" s="150"/>
      <c r="C667" s="150"/>
      <c r="D667" s="209"/>
      <c r="E667" s="209"/>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c r="A668" s="150"/>
      <c r="B668" s="150"/>
      <c r="C668" s="150"/>
      <c r="D668" s="209"/>
      <c r="E668" s="209"/>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c r="A669" s="150"/>
      <c r="B669" s="150"/>
      <c r="C669" s="150"/>
      <c r="D669" s="209"/>
      <c r="E669" s="209"/>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c r="A670" s="150"/>
      <c r="B670" s="150"/>
      <c r="C670" s="150"/>
      <c r="D670" s="209"/>
      <c r="E670" s="209"/>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c r="A671" s="150"/>
      <c r="B671" s="150"/>
      <c r="C671" s="150"/>
      <c r="D671" s="209"/>
      <c r="E671" s="209"/>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c r="A672" s="150"/>
      <c r="B672" s="150"/>
      <c r="C672" s="150"/>
      <c r="D672" s="209"/>
      <c r="E672" s="209"/>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c r="A673" s="150"/>
      <c r="B673" s="150"/>
      <c r="C673" s="150"/>
      <c r="D673" s="209"/>
      <c r="E673" s="209"/>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c r="A674" s="150"/>
      <c r="B674" s="150"/>
      <c r="C674" s="150"/>
      <c r="D674" s="209"/>
      <c r="E674" s="209"/>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c r="A675" s="150"/>
      <c r="B675" s="150"/>
      <c r="C675" s="150"/>
      <c r="D675" s="209"/>
      <c r="E675" s="209"/>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c r="A676" s="150"/>
      <c r="B676" s="150"/>
      <c r="C676" s="150"/>
      <c r="D676" s="209"/>
      <c r="E676" s="209"/>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c r="A677" s="150"/>
      <c r="B677" s="150"/>
      <c r="C677" s="150"/>
      <c r="D677" s="209"/>
      <c r="E677" s="209"/>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c r="A678" s="150"/>
      <c r="B678" s="150"/>
      <c r="C678" s="150"/>
      <c r="D678" s="209"/>
      <c r="E678" s="209"/>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c r="A679" s="150"/>
      <c r="B679" s="150"/>
      <c r="C679" s="150"/>
      <c r="D679" s="209"/>
      <c r="E679" s="209"/>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c r="A680" s="150"/>
      <c r="B680" s="150"/>
      <c r="C680" s="150"/>
      <c r="D680" s="209"/>
      <c r="E680" s="209"/>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c r="A681" s="150"/>
      <c r="B681" s="150"/>
      <c r="C681" s="150"/>
      <c r="D681" s="209"/>
      <c r="E681" s="209"/>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c r="A682" s="150"/>
      <c r="B682" s="150"/>
      <c r="C682" s="150"/>
      <c r="D682" s="209"/>
      <c r="E682" s="209"/>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c r="A683" s="150"/>
      <c r="B683" s="150"/>
      <c r="C683" s="150"/>
      <c r="D683" s="209"/>
      <c r="E683" s="209"/>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c r="A684" s="150"/>
      <c r="B684" s="150"/>
      <c r="C684" s="150"/>
      <c r="D684" s="209"/>
      <c r="E684" s="209"/>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c r="A685" s="150"/>
      <c r="B685" s="150"/>
      <c r="C685" s="150"/>
      <c r="D685" s="209"/>
      <c r="E685" s="209"/>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c r="A686" s="150"/>
      <c r="B686" s="150"/>
      <c r="C686" s="150"/>
      <c r="D686" s="209"/>
      <c r="E686" s="209"/>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c r="A687" s="150"/>
      <c r="B687" s="150"/>
      <c r="C687" s="150"/>
      <c r="D687" s="209"/>
      <c r="E687" s="209"/>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c r="A688" s="150"/>
      <c r="B688" s="150"/>
      <c r="C688" s="150"/>
      <c r="D688" s="209"/>
      <c r="E688" s="209"/>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c r="A689" s="150"/>
      <c r="B689" s="150"/>
      <c r="C689" s="150"/>
      <c r="D689" s="209"/>
      <c r="E689" s="209"/>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c r="A690" s="150"/>
      <c r="B690" s="150"/>
      <c r="C690" s="150"/>
      <c r="D690" s="209"/>
      <c r="E690" s="209"/>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c r="A691" s="150"/>
      <c r="B691" s="150"/>
      <c r="C691" s="150"/>
      <c r="D691" s="209"/>
      <c r="E691" s="209"/>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c r="A692" s="150"/>
      <c r="B692" s="150"/>
      <c r="C692" s="150"/>
      <c r="D692" s="209"/>
      <c r="E692" s="209"/>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c r="A693" s="150"/>
      <c r="B693" s="150"/>
      <c r="C693" s="150"/>
      <c r="D693" s="209"/>
      <c r="E693" s="209"/>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c r="A694" s="150"/>
      <c r="B694" s="150"/>
      <c r="C694" s="150"/>
      <c r="D694" s="209"/>
      <c r="E694" s="209"/>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c r="A695" s="150"/>
      <c r="B695" s="150"/>
      <c r="C695" s="150"/>
      <c r="D695" s="209"/>
      <c r="E695" s="209"/>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c r="A696" s="150"/>
      <c r="B696" s="150"/>
      <c r="C696" s="150"/>
      <c r="D696" s="209"/>
      <c r="E696" s="209"/>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c r="A697" s="150"/>
      <c r="B697" s="150"/>
      <c r="C697" s="150"/>
      <c r="D697" s="209"/>
      <c r="E697" s="209"/>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c r="A698" s="150"/>
      <c r="B698" s="150"/>
      <c r="C698" s="150"/>
      <c r="D698" s="209"/>
      <c r="E698" s="209"/>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c r="A699" s="150"/>
      <c r="B699" s="150"/>
      <c r="C699" s="150"/>
      <c r="D699" s="209"/>
      <c r="E699" s="209"/>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c r="A700" s="150"/>
      <c r="B700" s="150"/>
      <c r="C700" s="150"/>
      <c r="D700" s="209"/>
      <c r="E700" s="209"/>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c r="A701" s="150"/>
      <c r="B701" s="150"/>
      <c r="C701" s="150"/>
      <c r="D701" s="209"/>
      <c r="E701" s="209"/>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c r="A702" s="150"/>
      <c r="B702" s="150"/>
      <c r="C702" s="150"/>
      <c r="D702" s="209"/>
      <c r="E702" s="209"/>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c r="A703" s="150"/>
      <c r="B703" s="150"/>
      <c r="C703" s="150"/>
      <c r="D703" s="209"/>
      <c r="E703" s="209"/>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c r="A704" s="150"/>
      <c r="B704" s="150"/>
      <c r="C704" s="150"/>
      <c r="D704" s="209"/>
      <c r="E704" s="209"/>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c r="A705" s="150"/>
      <c r="B705" s="150"/>
      <c r="C705" s="150"/>
      <c r="D705" s="209"/>
      <c r="E705" s="209"/>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c r="A706" s="150"/>
      <c r="B706" s="150"/>
      <c r="C706" s="150"/>
      <c r="D706" s="209"/>
      <c r="E706" s="209"/>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c r="A707" s="150"/>
      <c r="B707" s="150"/>
      <c r="C707" s="150"/>
      <c r="D707" s="209"/>
      <c r="E707" s="209"/>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c r="A708" s="150"/>
      <c r="B708" s="150"/>
      <c r="C708" s="150"/>
      <c r="D708" s="209"/>
      <c r="E708" s="209"/>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c r="A709" s="150"/>
      <c r="B709" s="150"/>
      <c r="C709" s="150"/>
      <c r="D709" s="209"/>
      <c r="E709" s="209"/>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c r="A710" s="150"/>
      <c r="B710" s="150"/>
      <c r="C710" s="150"/>
      <c r="D710" s="209"/>
      <c r="E710" s="209"/>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c r="A711" s="150"/>
      <c r="B711" s="150"/>
      <c r="C711" s="150"/>
      <c r="D711" s="209"/>
      <c r="E711" s="209"/>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c r="A712" s="150"/>
      <c r="B712" s="150"/>
      <c r="C712" s="150"/>
      <c r="D712" s="209"/>
      <c r="E712" s="209"/>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c r="A713" s="150"/>
      <c r="B713" s="150"/>
      <c r="C713" s="150"/>
      <c r="D713" s="209"/>
      <c r="E713" s="209"/>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c r="A714" s="150"/>
      <c r="B714" s="150"/>
      <c r="C714" s="150"/>
      <c r="D714" s="209"/>
      <c r="E714" s="209"/>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c r="A715" s="150"/>
      <c r="B715" s="150"/>
      <c r="C715" s="150"/>
      <c r="D715" s="209"/>
      <c r="E715" s="209"/>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c r="A716" s="150"/>
      <c r="B716" s="150"/>
      <c r="C716" s="150"/>
      <c r="D716" s="209"/>
      <c r="E716" s="209"/>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c r="A717" s="150"/>
      <c r="B717" s="150"/>
      <c r="C717" s="150"/>
      <c r="D717" s="209"/>
      <c r="E717" s="209"/>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c r="A718" s="150"/>
      <c r="B718" s="150"/>
      <c r="C718" s="150"/>
      <c r="D718" s="209"/>
      <c r="E718" s="209"/>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c r="A719" s="150"/>
      <c r="B719" s="150"/>
      <c r="C719" s="150"/>
      <c r="D719" s="209"/>
      <c r="E719" s="209"/>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c r="A720" s="150"/>
      <c r="B720" s="150"/>
      <c r="C720" s="150"/>
      <c r="D720" s="209"/>
      <c r="E720" s="209"/>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c r="A721" s="150"/>
      <c r="B721" s="150"/>
      <c r="C721" s="150"/>
      <c r="D721" s="209"/>
      <c r="E721" s="209"/>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c r="A722" s="150"/>
      <c r="B722" s="150"/>
      <c r="C722" s="150"/>
      <c r="D722" s="209"/>
      <c r="E722" s="209"/>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c r="A723" s="150"/>
      <c r="B723" s="150"/>
      <c r="C723" s="150"/>
      <c r="D723" s="209"/>
      <c r="E723" s="209"/>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c r="A724" s="150"/>
      <c r="B724" s="150"/>
      <c r="C724" s="150"/>
      <c r="D724" s="209"/>
      <c r="E724" s="209"/>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c r="A725" s="150"/>
      <c r="B725" s="150"/>
      <c r="C725" s="150"/>
      <c r="D725" s="209"/>
      <c r="E725" s="209"/>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c r="A726" s="150"/>
      <c r="B726" s="150"/>
      <c r="C726" s="150"/>
      <c r="D726" s="209"/>
      <c r="E726" s="209"/>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c r="A727" s="150"/>
      <c r="B727" s="150"/>
      <c r="C727" s="150"/>
      <c r="D727" s="209"/>
      <c r="E727" s="209"/>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c r="A728" s="150"/>
      <c r="B728" s="150"/>
      <c r="C728" s="150"/>
      <c r="D728" s="209"/>
      <c r="E728" s="209"/>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c r="A729" s="150"/>
      <c r="B729" s="150"/>
      <c r="C729" s="150"/>
      <c r="D729" s="209"/>
      <c r="E729" s="209"/>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c r="A730" s="150"/>
      <c r="B730" s="150"/>
      <c r="C730" s="150"/>
      <c r="D730" s="209"/>
      <c r="E730" s="209"/>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c r="A731" s="150"/>
      <c r="B731" s="150"/>
      <c r="C731" s="150"/>
      <c r="D731" s="209"/>
      <c r="E731" s="209"/>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c r="A732" s="150"/>
      <c r="B732" s="150"/>
      <c r="C732" s="150"/>
      <c r="D732" s="209"/>
      <c r="E732" s="209"/>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c r="A733" s="150"/>
      <c r="B733" s="150"/>
      <c r="C733" s="150"/>
      <c r="D733" s="209"/>
      <c r="E733" s="209"/>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c r="A734" s="150"/>
      <c r="B734" s="150"/>
      <c r="C734" s="150"/>
      <c r="D734" s="209"/>
      <c r="E734" s="209"/>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c r="A735" s="150"/>
      <c r="B735" s="150"/>
      <c r="C735" s="150"/>
      <c r="D735" s="209"/>
      <c r="E735" s="209"/>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c r="A736" s="150"/>
      <c r="B736" s="150"/>
      <c r="C736" s="150"/>
      <c r="D736" s="209"/>
      <c r="E736" s="209"/>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c r="A737" s="150"/>
      <c r="B737" s="150"/>
      <c r="C737" s="150"/>
      <c r="D737" s="209"/>
      <c r="E737" s="209"/>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c r="A738" s="150"/>
      <c r="B738" s="150"/>
      <c r="C738" s="150"/>
      <c r="D738" s="209"/>
      <c r="E738" s="209"/>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c r="A739" s="150"/>
      <c r="B739" s="150"/>
      <c r="C739" s="150"/>
      <c r="D739" s="209"/>
      <c r="E739" s="209"/>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c r="A740" s="150"/>
      <c r="B740" s="150"/>
      <c r="C740" s="150"/>
      <c r="D740" s="209"/>
      <c r="E740" s="209"/>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c r="A741" s="150"/>
      <c r="B741" s="150"/>
      <c r="C741" s="150"/>
      <c r="D741" s="209"/>
      <c r="E741" s="209"/>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c r="A742" s="150"/>
      <c r="B742" s="150"/>
      <c r="C742" s="150"/>
      <c r="D742" s="209"/>
      <c r="E742" s="209"/>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c r="A743" s="150"/>
      <c r="B743" s="150"/>
      <c r="C743" s="150"/>
      <c r="D743" s="209"/>
      <c r="E743" s="209"/>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c r="A744" s="150"/>
      <c r="B744" s="150"/>
      <c r="C744" s="150"/>
      <c r="D744" s="209"/>
      <c r="E744" s="209"/>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c r="A745" s="150"/>
      <c r="B745" s="150"/>
      <c r="C745" s="150"/>
      <c r="D745" s="209"/>
      <c r="E745" s="209"/>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c r="A746" s="150"/>
      <c r="B746" s="150"/>
      <c r="C746" s="150"/>
      <c r="D746" s="209"/>
      <c r="E746" s="209"/>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c r="A747" s="150"/>
      <c r="B747" s="150"/>
      <c r="C747" s="150"/>
      <c r="D747" s="209"/>
      <c r="E747" s="209"/>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c r="A748" s="150"/>
      <c r="B748" s="150"/>
      <c r="C748" s="150"/>
      <c r="D748" s="209"/>
      <c r="E748" s="209"/>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c r="A749" s="150"/>
      <c r="B749" s="150"/>
      <c r="C749" s="150"/>
      <c r="D749" s="209"/>
      <c r="E749" s="209"/>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c r="A750" s="150"/>
      <c r="B750" s="150"/>
      <c r="C750" s="150"/>
      <c r="D750" s="209"/>
      <c r="E750" s="209"/>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c r="A751" s="150"/>
      <c r="B751" s="150"/>
      <c r="C751" s="150"/>
      <c r="D751" s="209"/>
      <c r="E751" s="209"/>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c r="A752" s="150"/>
      <c r="B752" s="150"/>
      <c r="C752" s="150"/>
      <c r="D752" s="209"/>
      <c r="E752" s="209"/>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c r="A753" s="150"/>
      <c r="B753" s="150"/>
      <c r="C753" s="150"/>
      <c r="D753" s="209"/>
      <c r="E753" s="209"/>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c r="A754" s="150"/>
      <c r="B754" s="150"/>
      <c r="C754" s="150"/>
      <c r="D754" s="209"/>
      <c r="E754" s="209"/>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c r="A755" s="150"/>
      <c r="B755" s="150"/>
      <c r="C755" s="150"/>
      <c r="D755" s="209"/>
      <c r="E755" s="209"/>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c r="A756" s="150"/>
      <c r="B756" s="150"/>
      <c r="C756" s="150"/>
      <c r="D756" s="209"/>
      <c r="E756" s="209"/>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c r="A757" s="150"/>
      <c r="B757" s="150"/>
      <c r="C757" s="150"/>
      <c r="D757" s="209"/>
      <c r="E757" s="209"/>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c r="A758" s="150"/>
      <c r="B758" s="150"/>
      <c r="C758" s="150"/>
      <c r="D758" s="209"/>
      <c r="E758" s="209"/>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c r="A759" s="150"/>
      <c r="B759" s="150"/>
      <c r="C759" s="150"/>
      <c r="D759" s="209"/>
      <c r="E759" s="209"/>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c r="A760" s="150"/>
      <c r="B760" s="150"/>
      <c r="C760" s="150"/>
      <c r="D760" s="209"/>
      <c r="E760" s="209"/>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c r="A761" s="150"/>
      <c r="B761" s="150"/>
      <c r="C761" s="150"/>
      <c r="D761" s="209"/>
      <c r="E761" s="209"/>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c r="A762" s="150"/>
      <c r="B762" s="150"/>
      <c r="C762" s="150"/>
      <c r="D762" s="209"/>
      <c r="E762" s="209"/>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c r="A763" s="150"/>
      <c r="B763" s="150"/>
      <c r="C763" s="150"/>
      <c r="D763" s="209"/>
      <c r="E763" s="209"/>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c r="A764" s="150"/>
      <c r="B764" s="150"/>
      <c r="C764" s="150"/>
      <c r="D764" s="209"/>
      <c r="E764" s="209"/>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c r="A765" s="150"/>
      <c r="B765" s="150"/>
      <c r="C765" s="150"/>
      <c r="D765" s="209"/>
      <c r="E765" s="209"/>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c r="A766" s="150"/>
      <c r="B766" s="150"/>
      <c r="C766" s="150"/>
      <c r="D766" s="209"/>
      <c r="E766" s="209"/>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c r="A767" s="150"/>
      <c r="B767" s="150"/>
      <c r="C767" s="150"/>
      <c r="D767" s="209"/>
      <c r="E767" s="209"/>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c r="A768" s="150"/>
      <c r="B768" s="150"/>
      <c r="C768" s="150"/>
      <c r="D768" s="209"/>
      <c r="E768" s="209"/>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c r="A769" s="150"/>
      <c r="B769" s="150"/>
      <c r="C769" s="150"/>
      <c r="D769" s="209"/>
      <c r="E769" s="209"/>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c r="A770" s="150"/>
      <c r="B770" s="150"/>
      <c r="C770" s="150"/>
      <c r="D770" s="209"/>
      <c r="E770" s="209"/>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c r="A771" s="150"/>
      <c r="B771" s="150"/>
      <c r="C771" s="150"/>
      <c r="D771" s="209"/>
      <c r="E771" s="209"/>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c r="A772" s="150"/>
      <c r="B772" s="150"/>
      <c r="C772" s="150"/>
      <c r="D772" s="209"/>
      <c r="E772" s="209"/>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c r="A773" s="150"/>
      <c r="B773" s="150"/>
      <c r="C773" s="150"/>
      <c r="D773" s="209"/>
      <c r="E773" s="209"/>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c r="A774" s="150"/>
      <c r="B774" s="150"/>
      <c r="C774" s="150"/>
      <c r="D774" s="209"/>
      <c r="E774" s="209"/>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c r="A775" s="150"/>
      <c r="B775" s="150"/>
      <c r="C775" s="150"/>
      <c r="D775" s="209"/>
      <c r="E775" s="209"/>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c r="A776" s="150"/>
      <c r="B776" s="150"/>
      <c r="C776" s="150"/>
      <c r="D776" s="209"/>
      <c r="E776" s="209"/>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c r="A777" s="150"/>
      <c r="B777" s="150"/>
      <c r="C777" s="150"/>
      <c r="D777" s="209"/>
      <c r="E777" s="209"/>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c r="A778" s="150"/>
      <c r="B778" s="150"/>
      <c r="C778" s="150"/>
      <c r="D778" s="209"/>
      <c r="E778" s="209"/>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c r="A779" s="150"/>
      <c r="B779" s="150"/>
      <c r="C779" s="150"/>
      <c r="D779" s="209"/>
      <c r="E779" s="209"/>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c r="A780" s="150"/>
      <c r="B780" s="150"/>
      <c r="C780" s="150"/>
      <c r="D780" s="209"/>
      <c r="E780" s="209"/>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c r="A781" s="150"/>
      <c r="B781" s="150"/>
      <c r="C781" s="150"/>
      <c r="D781" s="209"/>
      <c r="E781" s="209"/>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c r="A782" s="150"/>
      <c r="B782" s="150"/>
      <c r="C782" s="150"/>
      <c r="D782" s="209"/>
      <c r="E782" s="209"/>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c r="A783" s="150"/>
      <c r="B783" s="150"/>
      <c r="C783" s="150"/>
      <c r="D783" s="209"/>
      <c r="E783" s="209"/>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c r="A784" s="150"/>
      <c r="B784" s="150"/>
      <c r="C784" s="150"/>
      <c r="D784" s="209"/>
      <c r="E784" s="209"/>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c r="A785" s="150"/>
      <c r="B785" s="150"/>
      <c r="C785" s="150"/>
      <c r="D785" s="209"/>
      <c r="E785" s="209"/>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c r="A786" s="150"/>
      <c r="B786" s="150"/>
      <c r="C786" s="150"/>
      <c r="D786" s="209"/>
      <c r="E786" s="209"/>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c r="A787" s="150"/>
      <c r="B787" s="150"/>
      <c r="C787" s="150"/>
      <c r="D787" s="209"/>
      <c r="E787" s="209"/>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c r="A788" s="150"/>
      <c r="B788" s="150"/>
      <c r="C788" s="150"/>
      <c r="D788" s="209"/>
      <c r="E788" s="209"/>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c r="A789" s="150"/>
      <c r="B789" s="150"/>
      <c r="C789" s="150"/>
      <c r="D789" s="209"/>
      <c r="E789" s="209"/>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c r="A790" s="150"/>
      <c r="B790" s="150"/>
      <c r="C790" s="150"/>
      <c r="D790" s="209"/>
      <c r="E790" s="209"/>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c r="A791" s="150"/>
      <c r="B791" s="150"/>
      <c r="C791" s="150"/>
      <c r="D791" s="209"/>
      <c r="E791" s="209"/>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c r="A792" s="150"/>
      <c r="B792" s="150"/>
      <c r="C792" s="150"/>
      <c r="D792" s="209"/>
      <c r="E792" s="209"/>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c r="A793" s="150"/>
      <c r="B793" s="150"/>
      <c r="C793" s="150"/>
      <c r="D793" s="209"/>
      <c r="E793" s="209"/>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c r="A794" s="150"/>
      <c r="B794" s="150"/>
      <c r="C794" s="150"/>
      <c r="D794" s="209"/>
      <c r="E794" s="209"/>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c r="A795" s="150"/>
      <c r="B795" s="150"/>
      <c r="C795" s="150"/>
      <c r="D795" s="209"/>
      <c r="E795" s="209"/>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c r="A796" s="150"/>
      <c r="B796" s="150"/>
      <c r="C796" s="150"/>
      <c r="D796" s="209"/>
      <c r="E796" s="209"/>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c r="A797" s="150"/>
      <c r="B797" s="150"/>
      <c r="C797" s="150"/>
      <c r="D797" s="209"/>
      <c r="E797" s="209"/>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c r="A798" s="150"/>
      <c r="B798" s="150"/>
      <c r="C798" s="150"/>
      <c r="D798" s="209"/>
      <c r="E798" s="209"/>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c r="A799" s="150"/>
      <c r="B799" s="150"/>
      <c r="C799" s="150"/>
      <c r="D799" s="209"/>
      <c r="E799" s="209"/>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c r="A800" s="150"/>
      <c r="B800" s="150"/>
      <c r="C800" s="150"/>
      <c r="D800" s="209"/>
      <c r="E800" s="209"/>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c r="A801" s="150"/>
      <c r="B801" s="150"/>
      <c r="C801" s="150"/>
      <c r="D801" s="209"/>
      <c r="E801" s="209"/>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c r="A802" s="150"/>
      <c r="B802" s="150"/>
      <c r="C802" s="150"/>
      <c r="D802" s="209"/>
      <c r="E802" s="209"/>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c r="A803" s="150"/>
      <c r="B803" s="150"/>
      <c r="C803" s="150"/>
      <c r="D803" s="209"/>
      <c r="E803" s="209"/>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c r="A804" s="150"/>
      <c r="B804" s="150"/>
      <c r="C804" s="150"/>
      <c r="D804" s="209"/>
      <c r="E804" s="209"/>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c r="A805" s="150"/>
      <c r="B805" s="150"/>
      <c r="C805" s="150"/>
      <c r="D805" s="209"/>
      <c r="E805" s="209"/>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c r="A806" s="150"/>
      <c r="B806" s="150"/>
      <c r="C806" s="150"/>
      <c r="D806" s="209"/>
      <c r="E806" s="209"/>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c r="A807" s="150"/>
      <c r="B807" s="150"/>
      <c r="C807" s="150"/>
      <c r="D807" s="209"/>
      <c r="E807" s="209"/>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c r="A808" s="150"/>
      <c r="B808" s="150"/>
      <c r="C808" s="150"/>
      <c r="D808" s="209"/>
      <c r="E808" s="209"/>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c r="A809" s="150"/>
      <c r="B809" s="150"/>
      <c r="C809" s="150"/>
      <c r="D809" s="209"/>
      <c r="E809" s="209"/>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c r="A810" s="150"/>
      <c r="B810" s="150"/>
      <c r="C810" s="150"/>
      <c r="D810" s="209"/>
      <c r="E810" s="209"/>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c r="A811" s="150"/>
      <c r="B811" s="150"/>
      <c r="C811" s="150"/>
      <c r="D811" s="209"/>
      <c r="E811" s="209"/>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c r="A812" s="150"/>
      <c r="B812" s="150"/>
      <c r="C812" s="150"/>
      <c r="D812" s="209"/>
      <c r="E812" s="209"/>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c r="A813" s="150"/>
      <c r="B813" s="150"/>
      <c r="C813" s="150"/>
      <c r="D813" s="209"/>
      <c r="E813" s="209"/>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c r="A814" s="150"/>
      <c r="B814" s="150"/>
      <c r="C814" s="150"/>
      <c r="D814" s="209"/>
      <c r="E814" s="209"/>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c r="A815" s="150"/>
      <c r="B815" s="150"/>
      <c r="C815" s="150"/>
      <c r="D815" s="209"/>
      <c r="E815" s="209"/>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c r="A816" s="150"/>
      <c r="B816" s="150"/>
      <c r="C816" s="150"/>
      <c r="D816" s="209"/>
      <c r="E816" s="209"/>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c r="A817" s="150"/>
      <c r="B817" s="150"/>
      <c r="C817" s="150"/>
      <c r="D817" s="209"/>
      <c r="E817" s="209"/>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c r="A818" s="150"/>
      <c r="B818" s="150"/>
      <c r="C818" s="150"/>
      <c r="D818" s="209"/>
      <c r="E818" s="209"/>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c r="A819" s="150"/>
      <c r="B819" s="150"/>
      <c r="C819" s="150"/>
      <c r="D819" s="209"/>
      <c r="E819" s="209"/>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c r="A820" s="150"/>
      <c r="B820" s="150"/>
      <c r="C820" s="150"/>
      <c r="D820" s="209"/>
      <c r="E820" s="209"/>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c r="A821" s="150"/>
      <c r="B821" s="150"/>
      <c r="C821" s="150"/>
      <c r="D821" s="209"/>
      <c r="E821" s="209"/>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c r="A822" s="150"/>
      <c r="B822" s="150"/>
      <c r="C822" s="150"/>
      <c r="D822" s="209"/>
      <c r="E822" s="209"/>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c r="A823" s="150"/>
      <c r="B823" s="150"/>
      <c r="C823" s="150"/>
      <c r="D823" s="209"/>
      <c r="E823" s="209"/>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c r="A824" s="150"/>
      <c r="B824" s="150"/>
      <c r="C824" s="150"/>
      <c r="D824" s="209"/>
      <c r="E824" s="209"/>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c r="A825" s="150"/>
      <c r="B825" s="150"/>
      <c r="C825" s="150"/>
      <c r="D825" s="209"/>
      <c r="E825" s="209"/>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c r="A826" s="150"/>
      <c r="B826" s="150"/>
      <c r="C826" s="150"/>
      <c r="D826" s="209"/>
      <c r="E826" s="209"/>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c r="A827" s="150"/>
      <c r="B827" s="150"/>
      <c r="C827" s="150"/>
      <c r="D827" s="209"/>
      <c r="E827" s="209"/>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c r="A828" s="150"/>
      <c r="B828" s="150"/>
      <c r="C828" s="150"/>
      <c r="D828" s="209"/>
      <c r="E828" s="209"/>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c r="A829" s="150"/>
      <c r="B829" s="150"/>
      <c r="C829" s="150"/>
      <c r="D829" s="209"/>
      <c r="E829" s="209"/>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c r="A830" s="150"/>
      <c r="B830" s="150"/>
      <c r="C830" s="150"/>
      <c r="D830" s="209"/>
      <c r="E830" s="209"/>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c r="A831" s="150"/>
      <c r="B831" s="150"/>
      <c r="C831" s="150"/>
      <c r="D831" s="209"/>
      <c r="E831" s="209"/>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c r="A832" s="150"/>
      <c r="B832" s="150"/>
      <c r="C832" s="150"/>
      <c r="D832" s="209"/>
      <c r="E832" s="209"/>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c r="A833" s="150"/>
      <c r="B833" s="150"/>
      <c r="C833" s="150"/>
      <c r="D833" s="209"/>
      <c r="E833" s="209"/>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c r="A834" s="150"/>
      <c r="B834" s="150"/>
      <c r="C834" s="150"/>
      <c r="D834" s="209"/>
      <c r="E834" s="209"/>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c r="A835" s="150"/>
      <c r="B835" s="150"/>
      <c r="C835" s="150"/>
      <c r="D835" s="209"/>
      <c r="E835" s="209"/>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c r="A836" s="150"/>
      <c r="B836" s="150"/>
      <c r="C836" s="150"/>
      <c r="D836" s="209"/>
      <c r="E836" s="209"/>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c r="A837" s="150"/>
      <c r="B837" s="150"/>
      <c r="C837" s="150"/>
      <c r="D837" s="209"/>
      <c r="E837" s="209"/>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c r="A838" s="150"/>
      <c r="B838" s="150"/>
      <c r="C838" s="150"/>
      <c r="D838" s="209"/>
      <c r="E838" s="209"/>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c r="A839" s="150"/>
      <c r="B839" s="150"/>
      <c r="C839" s="150"/>
      <c r="D839" s="209"/>
      <c r="E839" s="209"/>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c r="A840" s="150"/>
      <c r="B840" s="150"/>
      <c r="C840" s="150"/>
      <c r="D840" s="209"/>
      <c r="E840" s="209"/>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c r="A841" s="150"/>
      <c r="B841" s="150"/>
      <c r="C841" s="150"/>
      <c r="D841" s="209"/>
      <c r="E841" s="209"/>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c r="A842" s="150"/>
      <c r="B842" s="150"/>
      <c r="C842" s="150"/>
      <c r="D842" s="209"/>
      <c r="E842" s="209"/>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c r="A843" s="150"/>
      <c r="B843" s="150"/>
      <c r="C843" s="150"/>
      <c r="D843" s="209"/>
      <c r="E843" s="209"/>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c r="A844" s="150"/>
      <c r="B844" s="150"/>
      <c r="C844" s="150"/>
      <c r="D844" s="209"/>
      <c r="E844" s="209"/>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c r="A845" s="150"/>
      <c r="B845" s="150"/>
      <c r="C845" s="150"/>
      <c r="D845" s="209"/>
      <c r="E845" s="209"/>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c r="A846" s="150"/>
      <c r="B846" s="150"/>
      <c r="C846" s="150"/>
      <c r="D846" s="209"/>
      <c r="E846" s="209"/>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c r="A847" s="150"/>
      <c r="B847" s="150"/>
      <c r="C847" s="150"/>
      <c r="D847" s="209"/>
      <c r="E847" s="209"/>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c r="A848" s="150"/>
      <c r="B848" s="150"/>
      <c r="C848" s="150"/>
      <c r="D848" s="209"/>
      <c r="E848" s="209"/>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c r="A849" s="150"/>
      <c r="B849" s="150"/>
      <c r="C849" s="150"/>
      <c r="D849" s="209"/>
      <c r="E849" s="209"/>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c r="A850" s="150"/>
      <c r="B850" s="150"/>
      <c r="C850" s="150"/>
      <c r="D850" s="209"/>
      <c r="E850" s="209"/>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c r="A851" s="150"/>
      <c r="B851" s="150"/>
      <c r="C851" s="150"/>
      <c r="D851" s="209"/>
      <c r="E851" s="209"/>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c r="A852" s="150"/>
      <c r="B852" s="150"/>
      <c r="C852" s="150"/>
      <c r="D852" s="209"/>
      <c r="E852" s="209"/>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c r="A853" s="150"/>
      <c r="B853" s="150"/>
      <c r="C853" s="150"/>
      <c r="D853" s="209"/>
      <c r="E853" s="209"/>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c r="A854" s="150"/>
      <c r="B854" s="150"/>
      <c r="C854" s="150"/>
      <c r="D854" s="209"/>
      <c r="E854" s="209"/>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c r="A855" s="150"/>
      <c r="B855" s="150"/>
      <c r="C855" s="150"/>
      <c r="D855" s="209"/>
      <c r="E855" s="209"/>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c r="A856" s="150"/>
      <c r="B856" s="150"/>
      <c r="C856" s="150"/>
      <c r="D856" s="209"/>
      <c r="E856" s="209"/>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c r="A857" s="150"/>
      <c r="B857" s="150"/>
      <c r="C857" s="150"/>
      <c r="D857" s="209"/>
      <c r="E857" s="209"/>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c r="A858" s="150"/>
      <c r="B858" s="150"/>
      <c r="C858" s="150"/>
      <c r="D858" s="209"/>
      <c r="E858" s="209"/>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c r="A859" s="150"/>
      <c r="B859" s="150"/>
      <c r="C859" s="150"/>
      <c r="D859" s="209"/>
      <c r="E859" s="209"/>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c r="A860" s="150"/>
      <c r="B860" s="150"/>
      <c r="C860" s="150"/>
      <c r="D860" s="209"/>
      <c r="E860" s="209"/>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c r="A861" s="150"/>
      <c r="B861" s="150"/>
      <c r="C861" s="150"/>
      <c r="D861" s="209"/>
      <c r="E861" s="209"/>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c r="A862" s="150"/>
      <c r="B862" s="150"/>
      <c r="C862" s="150"/>
      <c r="D862" s="209"/>
      <c r="E862" s="209"/>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c r="A863" s="150"/>
      <c r="B863" s="150"/>
      <c r="C863" s="150"/>
      <c r="D863" s="209"/>
      <c r="E863" s="209"/>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c r="A864" s="150"/>
      <c r="B864" s="150"/>
      <c r="C864" s="150"/>
      <c r="D864" s="209"/>
      <c r="E864" s="209"/>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c r="A865" s="150"/>
      <c r="B865" s="150"/>
      <c r="C865" s="150"/>
      <c r="D865" s="209"/>
      <c r="E865" s="209"/>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c r="A866" s="150"/>
      <c r="B866" s="150"/>
      <c r="C866" s="150"/>
      <c r="D866" s="209"/>
      <c r="E866" s="209"/>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c r="A867" s="150"/>
      <c r="B867" s="150"/>
      <c r="C867" s="150"/>
      <c r="D867" s="209"/>
      <c r="E867" s="209"/>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c r="A868" s="150"/>
      <c r="B868" s="150"/>
      <c r="C868" s="150"/>
      <c r="D868" s="209"/>
      <c r="E868" s="209"/>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c r="A869" s="150"/>
      <c r="B869" s="150"/>
      <c r="C869" s="150"/>
      <c r="D869" s="209"/>
      <c r="E869" s="209"/>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c r="A870" s="150"/>
      <c r="B870" s="150"/>
      <c r="C870" s="150"/>
      <c r="D870" s="209"/>
      <c r="E870" s="209"/>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c r="A871" s="150"/>
      <c r="B871" s="150"/>
      <c r="C871" s="150"/>
      <c r="D871" s="209"/>
      <c r="E871" s="209"/>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c r="A872" s="150"/>
      <c r="B872" s="150"/>
      <c r="C872" s="150"/>
      <c r="D872" s="209"/>
      <c r="E872" s="209"/>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c r="A873" s="150"/>
      <c r="B873" s="150"/>
      <c r="C873" s="150"/>
      <c r="D873" s="209"/>
      <c r="E873" s="209"/>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c r="A874" s="150"/>
      <c r="B874" s="150"/>
      <c r="C874" s="150"/>
      <c r="D874" s="209"/>
      <c r="E874" s="209"/>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c r="A875" s="150"/>
      <c r="B875" s="150"/>
      <c r="C875" s="150"/>
      <c r="D875" s="209"/>
      <c r="E875" s="209"/>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c r="A876" s="150"/>
      <c r="B876" s="150"/>
      <c r="C876" s="150"/>
      <c r="D876" s="209"/>
      <c r="E876" s="209"/>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c r="A877" s="150"/>
      <c r="B877" s="150"/>
      <c r="C877" s="150"/>
      <c r="D877" s="209"/>
      <c r="E877" s="209"/>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c r="A878" s="150"/>
      <c r="B878" s="150"/>
      <c r="C878" s="150"/>
      <c r="D878" s="209"/>
      <c r="E878" s="209"/>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c r="A879" s="150"/>
      <c r="B879" s="150"/>
      <c r="C879" s="150"/>
      <c r="D879" s="209"/>
      <c r="E879" s="209"/>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c r="A880" s="150"/>
      <c r="B880" s="150"/>
      <c r="C880" s="150"/>
      <c r="D880" s="209"/>
      <c r="E880" s="209"/>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c r="A881" s="150"/>
      <c r="B881" s="150"/>
      <c r="C881" s="150"/>
      <c r="D881" s="209"/>
      <c r="E881" s="209"/>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c r="A882" s="150"/>
      <c r="B882" s="150"/>
      <c r="C882" s="150"/>
      <c r="D882" s="209"/>
      <c r="E882" s="209"/>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c r="A883" s="150"/>
      <c r="B883" s="150"/>
      <c r="C883" s="150"/>
      <c r="D883" s="209"/>
      <c r="E883" s="209"/>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c r="A884" s="150"/>
      <c r="B884" s="150"/>
      <c r="C884" s="150"/>
      <c r="D884" s="209"/>
      <c r="E884" s="209"/>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c r="A885" s="150"/>
      <c r="B885" s="150"/>
      <c r="C885" s="150"/>
      <c r="D885" s="209"/>
      <c r="E885" s="209"/>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c r="A886" s="150"/>
      <c r="B886" s="150"/>
      <c r="C886" s="150"/>
      <c r="D886" s="209"/>
      <c r="E886" s="209"/>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c r="A887" s="150"/>
      <c r="B887" s="150"/>
      <c r="C887" s="150"/>
      <c r="D887" s="209"/>
      <c r="E887" s="209"/>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c r="A888" s="150"/>
      <c r="B888" s="150"/>
      <c r="C888" s="150"/>
      <c r="D888" s="209"/>
      <c r="E888" s="209"/>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c r="A889" s="150"/>
      <c r="B889" s="150"/>
      <c r="C889" s="150"/>
      <c r="D889" s="209"/>
      <c r="E889" s="209"/>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c r="A890" s="150"/>
      <c r="B890" s="150"/>
      <c r="C890" s="150"/>
      <c r="D890" s="209"/>
      <c r="E890" s="209"/>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c r="A891" s="150"/>
      <c r="B891" s="150"/>
      <c r="C891" s="150"/>
      <c r="D891" s="209"/>
      <c r="E891" s="209"/>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c r="A892" s="150"/>
      <c r="B892" s="150"/>
      <c r="C892" s="150"/>
      <c r="D892" s="209"/>
      <c r="E892" s="209"/>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c r="A893" s="150"/>
      <c r="B893" s="150"/>
      <c r="C893" s="150"/>
      <c r="D893" s="209"/>
      <c r="E893" s="209"/>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c r="A894" s="150"/>
      <c r="B894" s="150"/>
      <c r="C894" s="150"/>
      <c r="D894" s="209"/>
      <c r="E894" s="209"/>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c r="A895" s="150"/>
      <c r="B895" s="150"/>
      <c r="C895" s="150"/>
      <c r="D895" s="209"/>
      <c r="E895" s="209"/>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c r="A896" s="150"/>
      <c r="B896" s="150"/>
      <c r="C896" s="150"/>
      <c r="D896" s="209"/>
      <c r="E896" s="209"/>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c r="A897" s="150"/>
      <c r="B897" s="150"/>
      <c r="C897" s="150"/>
      <c r="D897" s="209"/>
      <c r="E897" s="209"/>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c r="A898" s="150"/>
      <c r="B898" s="150"/>
      <c r="C898" s="150"/>
      <c r="D898" s="209"/>
      <c r="E898" s="209"/>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c r="A899" s="150"/>
      <c r="B899" s="150"/>
      <c r="C899" s="150"/>
      <c r="D899" s="209"/>
      <c r="E899" s="209"/>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c r="A900" s="150"/>
      <c r="B900" s="150"/>
      <c r="C900" s="150"/>
      <c r="D900" s="209"/>
      <c r="E900" s="209"/>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c r="A901" s="150"/>
      <c r="B901" s="150"/>
      <c r="C901" s="150"/>
      <c r="D901" s="209"/>
      <c r="E901" s="209"/>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c r="A902" s="150"/>
      <c r="B902" s="150"/>
      <c r="C902" s="150"/>
      <c r="D902" s="209"/>
      <c r="E902" s="209"/>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c r="A903" s="150"/>
      <c r="B903" s="150"/>
      <c r="C903" s="150"/>
      <c r="D903" s="209"/>
      <c r="E903" s="209"/>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c r="A904" s="150"/>
      <c r="B904" s="150"/>
      <c r="C904" s="150"/>
      <c r="D904" s="209"/>
      <c r="E904" s="209"/>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c r="A905" s="150"/>
      <c r="B905" s="150"/>
      <c r="C905" s="150"/>
      <c r="D905" s="209"/>
      <c r="E905" s="209"/>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c r="A906" s="150"/>
      <c r="B906" s="150"/>
      <c r="C906" s="150"/>
      <c r="D906" s="209"/>
      <c r="E906" s="209"/>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c r="A907" s="150"/>
      <c r="B907" s="150"/>
      <c r="C907" s="150"/>
      <c r="D907" s="209"/>
      <c r="E907" s="209"/>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c r="A908" s="150"/>
      <c r="B908" s="150"/>
      <c r="C908" s="150"/>
      <c r="D908" s="209"/>
      <c r="E908" s="209"/>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c r="A909" s="150"/>
      <c r="B909" s="150"/>
      <c r="C909" s="150"/>
      <c r="D909" s="209"/>
      <c r="E909" s="209"/>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c r="A910" s="150"/>
      <c r="B910" s="150"/>
      <c r="C910" s="150"/>
      <c r="D910" s="209"/>
      <c r="E910" s="209"/>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c r="A911" s="150"/>
      <c r="B911" s="150"/>
      <c r="C911" s="150"/>
      <c r="D911" s="209"/>
      <c r="E911" s="209"/>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c r="A912" s="150"/>
      <c r="B912" s="150"/>
      <c r="C912" s="150"/>
      <c r="D912" s="209"/>
      <c r="E912" s="209"/>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c r="A913" s="150"/>
      <c r="B913" s="150"/>
      <c r="C913" s="150"/>
      <c r="D913" s="209"/>
      <c r="E913" s="209"/>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c r="A914" s="150"/>
      <c r="B914" s="150"/>
      <c r="C914" s="150"/>
      <c r="D914" s="209"/>
      <c r="E914" s="209"/>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c r="A915" s="150"/>
      <c r="B915" s="150"/>
      <c r="C915" s="150"/>
      <c r="D915" s="209"/>
      <c r="E915" s="209"/>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c r="A916" s="150"/>
      <c r="B916" s="150"/>
      <c r="C916" s="150"/>
      <c r="D916" s="209"/>
      <c r="E916" s="209"/>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c r="A917" s="150"/>
      <c r="B917" s="150"/>
      <c r="C917" s="150"/>
      <c r="D917" s="209"/>
      <c r="E917" s="209"/>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c r="A918" s="150"/>
      <c r="B918" s="150"/>
      <c r="C918" s="150"/>
      <c r="D918" s="209"/>
      <c r="E918" s="209"/>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c r="A919" s="150"/>
      <c r="B919" s="150"/>
      <c r="C919" s="150"/>
      <c r="D919" s="209"/>
      <c r="E919" s="209"/>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c r="A920" s="150"/>
      <c r="B920" s="150"/>
      <c r="C920" s="150"/>
      <c r="D920" s="209"/>
      <c r="E920" s="209"/>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c r="A921" s="150"/>
      <c r="B921" s="150"/>
      <c r="C921" s="150"/>
      <c r="D921" s="209"/>
      <c r="E921" s="209"/>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c r="A922" s="150"/>
      <c r="B922" s="150"/>
      <c r="C922" s="150"/>
      <c r="D922" s="209"/>
      <c r="E922" s="209"/>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c r="A923" s="150"/>
      <c r="B923" s="150"/>
      <c r="C923" s="150"/>
      <c r="D923" s="209"/>
      <c r="E923" s="209"/>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c r="A924" s="150"/>
      <c r="B924" s="150"/>
      <c r="C924" s="150"/>
      <c r="D924" s="209"/>
      <c r="E924" s="209"/>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c r="A925" s="150"/>
      <c r="B925" s="150"/>
      <c r="C925" s="150"/>
      <c r="D925" s="209"/>
      <c r="E925" s="209"/>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c r="A926" s="150"/>
      <c r="B926" s="150"/>
      <c r="C926" s="150"/>
      <c r="D926" s="209"/>
      <c r="E926" s="209"/>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c r="A927" s="150"/>
      <c r="B927" s="150"/>
      <c r="C927" s="150"/>
      <c r="D927" s="209"/>
      <c r="E927" s="209"/>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c r="A928" s="150"/>
      <c r="B928" s="150"/>
      <c r="C928" s="150"/>
      <c r="D928" s="209"/>
      <c r="E928" s="209"/>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c r="A929" s="150"/>
      <c r="B929" s="150"/>
      <c r="C929" s="150"/>
      <c r="D929" s="209"/>
      <c r="E929" s="209"/>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c r="A930" s="150"/>
      <c r="B930" s="150"/>
      <c r="C930" s="150"/>
      <c r="D930" s="209"/>
      <c r="E930" s="209"/>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c r="A931" s="150"/>
      <c r="B931" s="150"/>
      <c r="C931" s="150"/>
      <c r="D931" s="209"/>
      <c r="E931" s="209"/>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c r="A932" s="150"/>
      <c r="B932" s="150"/>
      <c r="C932" s="150"/>
      <c r="D932" s="209"/>
      <c r="E932" s="209"/>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c r="A933" s="150"/>
      <c r="B933" s="150"/>
      <c r="C933" s="150"/>
      <c r="D933" s="209"/>
      <c r="E933" s="209"/>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c r="A934" s="150"/>
      <c r="B934" s="150"/>
      <c r="C934" s="150"/>
      <c r="D934" s="209"/>
      <c r="E934" s="209"/>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c r="A935" s="150"/>
      <c r="B935" s="150"/>
      <c r="C935" s="150"/>
      <c r="D935" s="209"/>
      <c r="E935" s="209"/>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c r="A936" s="150"/>
      <c r="B936" s="150"/>
      <c r="C936" s="150"/>
      <c r="D936" s="209"/>
      <c r="E936" s="209"/>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c r="A937" s="150"/>
      <c r="B937" s="150"/>
      <c r="C937" s="150"/>
      <c r="D937" s="209"/>
      <c r="E937" s="209"/>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c r="A938" s="150"/>
      <c r="B938" s="150"/>
      <c r="C938" s="150"/>
      <c r="D938" s="209"/>
      <c r="E938" s="209"/>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c r="A939" s="150"/>
      <c r="B939" s="150"/>
      <c r="C939" s="150"/>
      <c r="D939" s="209"/>
      <c r="E939" s="209"/>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c r="A940" s="150"/>
      <c r="B940" s="150"/>
      <c r="C940" s="150"/>
      <c r="D940" s="209"/>
      <c r="E940" s="209"/>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c r="A941" s="150"/>
      <c r="B941" s="150"/>
      <c r="C941" s="150"/>
      <c r="D941" s="209"/>
      <c r="E941" s="209"/>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c r="A942" s="150"/>
      <c r="B942" s="150"/>
      <c r="C942" s="150"/>
      <c r="D942" s="209"/>
      <c r="E942" s="209"/>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c r="A943" s="150"/>
      <c r="B943" s="150"/>
      <c r="C943" s="150"/>
      <c r="D943" s="209"/>
      <c r="E943" s="209"/>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c r="A944" s="150"/>
      <c r="B944" s="150"/>
      <c r="C944" s="150"/>
      <c r="D944" s="209"/>
      <c r="E944" s="209"/>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c r="A945" s="150"/>
      <c r="B945" s="150"/>
      <c r="C945" s="150"/>
      <c r="D945" s="209"/>
      <c r="E945" s="209"/>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c r="A946" s="150"/>
      <c r="B946" s="150"/>
      <c r="C946" s="150"/>
      <c r="D946" s="209"/>
      <c r="E946" s="209"/>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c r="A947" s="150"/>
      <c r="B947" s="150"/>
      <c r="C947" s="150"/>
      <c r="D947" s="209"/>
      <c r="E947" s="209"/>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c r="A948" s="150"/>
      <c r="B948" s="150"/>
      <c r="C948" s="150"/>
      <c r="D948" s="209"/>
      <c r="E948" s="209"/>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c r="A949" s="150"/>
      <c r="B949" s="150"/>
      <c r="C949" s="150"/>
      <c r="D949" s="209"/>
      <c r="E949" s="209"/>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c r="A950" s="150"/>
      <c r="B950" s="150"/>
      <c r="C950" s="150"/>
      <c r="D950" s="209"/>
      <c r="E950" s="209"/>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c r="A951" s="150"/>
      <c r="B951" s="150"/>
      <c r="C951" s="150"/>
      <c r="D951" s="209"/>
      <c r="E951" s="209"/>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c r="A952" s="150"/>
      <c r="B952" s="150"/>
      <c r="C952" s="150"/>
      <c r="D952" s="209"/>
      <c r="E952" s="209"/>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c r="A953" s="150"/>
      <c r="B953" s="150"/>
      <c r="C953" s="150"/>
      <c r="D953" s="209"/>
      <c r="E953" s="209"/>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c r="A954" s="150"/>
      <c r="B954" s="150"/>
      <c r="C954" s="150"/>
      <c r="D954" s="209"/>
      <c r="E954" s="209"/>
      <c r="F954" s="150"/>
      <c r="G954" s="150"/>
      <c r="H954" s="150"/>
      <c r="I954" s="150"/>
      <c r="J954" s="150"/>
      <c r="K954" s="150"/>
      <c r="L954" s="150"/>
      <c r="M954" s="150"/>
      <c r="N954" s="150"/>
      <c r="O954" s="150"/>
      <c r="P954" s="150"/>
      <c r="Q954" s="150"/>
      <c r="R954" s="150"/>
      <c r="S954" s="150"/>
      <c r="T954" s="150"/>
      <c r="U954" s="150"/>
      <c r="V954" s="150"/>
      <c r="W954" s="150"/>
      <c r="X954" s="150"/>
      <c r="Y954" s="150"/>
      <c r="Z954" s="150"/>
    </row>
  </sheetData>
  <mergeCells count="112">
    <mergeCell ref="E35:E40"/>
    <mergeCell ref="F35:F40"/>
    <mergeCell ref="E48:E52"/>
    <mergeCell ref="F48:F52"/>
    <mergeCell ref="G48:G52"/>
    <mergeCell ref="E53:E58"/>
    <mergeCell ref="F53:F58"/>
    <mergeCell ref="G53:G58"/>
    <mergeCell ref="A25:A34"/>
    <mergeCell ref="C25:C34"/>
    <mergeCell ref="D25:D34"/>
    <mergeCell ref="E25:E34"/>
    <mergeCell ref="F25:F34"/>
    <mergeCell ref="G25:G34"/>
    <mergeCell ref="A35:A40"/>
    <mergeCell ref="G35:G40"/>
    <mergeCell ref="A53:A58"/>
    <mergeCell ref="A59:A66"/>
    <mergeCell ref="A67:A73"/>
    <mergeCell ref="A74:A81"/>
    <mergeCell ref="A82:A90"/>
    <mergeCell ref="C59:C66"/>
    <mergeCell ref="D59:D66"/>
    <mergeCell ref="E59:E66"/>
    <mergeCell ref="F59:F66"/>
    <mergeCell ref="G59:G66"/>
    <mergeCell ref="H59:H66"/>
    <mergeCell ref="I59:I66"/>
    <mergeCell ref="J59:J66"/>
    <mergeCell ref="C67:C73"/>
    <mergeCell ref="D67:D73"/>
    <mergeCell ref="E67:E73"/>
    <mergeCell ref="F67:F73"/>
    <mergeCell ref="G67:G73"/>
    <mergeCell ref="H67:H73"/>
    <mergeCell ref="I67:I73"/>
    <mergeCell ref="J67:J73"/>
    <mergeCell ref="C74:C81"/>
    <mergeCell ref="D74:D81"/>
    <mergeCell ref="E74:E81"/>
    <mergeCell ref="F74:F81"/>
    <mergeCell ref="G74:G81"/>
    <mergeCell ref="H74:H81"/>
    <mergeCell ref="I74:I81"/>
    <mergeCell ref="J74:J81"/>
    <mergeCell ref="C82:C90"/>
    <mergeCell ref="D82:D90"/>
    <mergeCell ref="E82:E90"/>
    <mergeCell ref="F82:F90"/>
    <mergeCell ref="G82:G90"/>
    <mergeCell ref="H82:H90"/>
    <mergeCell ref="I82:I90"/>
    <mergeCell ref="J82:J90"/>
    <mergeCell ref="C35:C40"/>
    <mergeCell ref="D35:D40"/>
    <mergeCell ref="B48:B90"/>
    <mergeCell ref="C48:C52"/>
    <mergeCell ref="D48:D52"/>
    <mergeCell ref="C53:C58"/>
    <mergeCell ref="D53:D58"/>
    <mergeCell ref="H25:H34"/>
    <mergeCell ref="I25:I34"/>
    <mergeCell ref="J25:J34"/>
    <mergeCell ref="H35:H40"/>
    <mergeCell ref="I35:I40"/>
    <mergeCell ref="J35:J40"/>
    <mergeCell ref="H41:H46"/>
    <mergeCell ref="B25:B34"/>
    <mergeCell ref="B35:B46"/>
    <mergeCell ref="C41:C46"/>
    <mergeCell ref="D41:D46"/>
    <mergeCell ref="E41:E46"/>
    <mergeCell ref="F41:F46"/>
    <mergeCell ref="G41:G46"/>
    <mergeCell ref="B3:I3"/>
    <mergeCell ref="B4:I4"/>
    <mergeCell ref="C5:D5"/>
    <mergeCell ref="E5:F5"/>
    <mergeCell ref="G5:I5"/>
    <mergeCell ref="E6:F6"/>
    <mergeCell ref="G6:I6"/>
    <mergeCell ref="G10:G18"/>
    <mergeCell ref="H10:H18"/>
    <mergeCell ref="I10:I18"/>
    <mergeCell ref="J10:J18"/>
    <mergeCell ref="C6:D6"/>
    <mergeCell ref="A10:A18"/>
    <mergeCell ref="B10:B18"/>
    <mergeCell ref="C10:C18"/>
    <mergeCell ref="D10:D18"/>
    <mergeCell ref="E10:E18"/>
    <mergeCell ref="F10:F18"/>
    <mergeCell ref="H19:H23"/>
    <mergeCell ref="I19:I23"/>
    <mergeCell ref="J19:J23"/>
    <mergeCell ref="A19:A23"/>
    <mergeCell ref="B19:B23"/>
    <mergeCell ref="C19:C23"/>
    <mergeCell ref="D19:D23"/>
    <mergeCell ref="E19:E23"/>
    <mergeCell ref="F19:F23"/>
    <mergeCell ref="G19:G23"/>
    <mergeCell ref="I41:I46"/>
    <mergeCell ref="J41:J46"/>
    <mergeCell ref="H48:H52"/>
    <mergeCell ref="I48:I52"/>
    <mergeCell ref="J48:J52"/>
    <mergeCell ref="H53:H58"/>
    <mergeCell ref="I53:I58"/>
    <mergeCell ref="J53:J58"/>
    <mergeCell ref="A41:A46"/>
    <mergeCell ref="A48:A52"/>
  </mergeCells>
  <dataValidations>
    <dataValidation type="list" allowBlank="1" showErrorMessage="1" sqref="I8 I10 I19 I25 I35 I41 I48 I53 I59 I67 I74 I82">
      <formula1>$O$2:$O$6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43"/>
    <col customWidth="1" min="2" max="2" width="34.71"/>
    <col customWidth="1" min="3" max="3" width="39.86"/>
    <col customWidth="1" min="4" max="4" width="48.29"/>
    <col customWidth="1" min="5" max="5" width="14.57"/>
    <col customWidth="1" min="6" max="6" width="87.71"/>
    <col customWidth="1" min="7" max="7" width="33.29"/>
    <col customWidth="1" min="8" max="8" width="6.71"/>
    <col customWidth="1" min="9" max="9" width="9.29"/>
    <col customWidth="1" min="10" max="10" width="17.0"/>
  </cols>
  <sheetData>
    <row r="1">
      <c r="A1" s="210" t="s">
        <v>382</v>
      </c>
      <c r="B1" s="211" t="s">
        <v>179</v>
      </c>
      <c r="C1" s="212" t="s">
        <v>383</v>
      </c>
      <c r="D1" s="210" t="s">
        <v>384</v>
      </c>
      <c r="E1" s="210" t="s">
        <v>385</v>
      </c>
      <c r="F1" s="210" t="s">
        <v>386</v>
      </c>
      <c r="G1" s="210" t="s">
        <v>387</v>
      </c>
      <c r="H1" s="210" t="s">
        <v>186</v>
      </c>
      <c r="I1" s="210" t="s">
        <v>388</v>
      </c>
      <c r="J1" s="210" t="s">
        <v>389</v>
      </c>
      <c r="K1" s="213"/>
      <c r="L1" s="213"/>
      <c r="M1" s="213"/>
      <c r="N1" s="213"/>
      <c r="O1" s="213"/>
      <c r="P1" s="213"/>
      <c r="Q1" s="213"/>
      <c r="R1" s="213"/>
      <c r="S1" s="213"/>
      <c r="T1" s="213"/>
      <c r="U1" s="213"/>
      <c r="V1" s="213"/>
      <c r="W1" s="213"/>
      <c r="X1" s="213"/>
      <c r="Y1" s="214"/>
      <c r="Z1" s="214"/>
    </row>
    <row r="2">
      <c r="A2" s="49" t="s">
        <v>390</v>
      </c>
      <c r="B2" s="89" t="s">
        <v>391</v>
      </c>
      <c r="C2" s="215" t="s">
        <v>392</v>
      </c>
      <c r="D2" s="49" t="s">
        <v>393</v>
      </c>
      <c r="E2" s="49" t="s">
        <v>394</v>
      </c>
      <c r="F2" s="49" t="s">
        <v>395</v>
      </c>
      <c r="G2" s="49" t="s">
        <v>396</v>
      </c>
      <c r="H2" s="49" t="s">
        <v>168</v>
      </c>
      <c r="I2" s="49"/>
      <c r="J2" s="49" t="s">
        <v>196</v>
      </c>
      <c r="K2" s="150"/>
      <c r="L2" s="150"/>
      <c r="M2" s="150"/>
      <c r="N2" s="150"/>
      <c r="O2" s="150"/>
      <c r="P2" s="150"/>
      <c r="Q2" s="150"/>
      <c r="R2" s="150"/>
      <c r="S2" s="150"/>
      <c r="T2" s="150"/>
      <c r="U2" s="150"/>
      <c r="V2" s="150"/>
      <c r="W2" s="150"/>
      <c r="X2" s="150"/>
    </row>
    <row r="3">
      <c r="A3" s="49" t="s">
        <v>397</v>
      </c>
      <c r="B3" s="92"/>
      <c r="C3" s="215" t="s">
        <v>398</v>
      </c>
      <c r="D3" s="49" t="s">
        <v>399</v>
      </c>
      <c r="E3" s="49" t="s">
        <v>196</v>
      </c>
      <c r="F3" s="49" t="s">
        <v>400</v>
      </c>
      <c r="G3" s="49" t="s">
        <v>401</v>
      </c>
      <c r="H3" s="49" t="s">
        <v>168</v>
      </c>
      <c r="I3" s="49"/>
      <c r="J3" s="49" t="s">
        <v>196</v>
      </c>
      <c r="K3" s="150"/>
      <c r="L3" s="150"/>
      <c r="M3" s="150"/>
      <c r="N3" s="150"/>
      <c r="O3" s="150"/>
      <c r="P3" s="150"/>
      <c r="Q3" s="150"/>
      <c r="R3" s="150"/>
      <c r="S3" s="150"/>
      <c r="T3" s="150"/>
      <c r="U3" s="150"/>
      <c r="V3" s="150"/>
      <c r="W3" s="150"/>
      <c r="X3" s="150"/>
    </row>
    <row r="4">
      <c r="A4" s="49" t="s">
        <v>402</v>
      </c>
      <c r="B4" s="21"/>
      <c r="C4" s="215" t="s">
        <v>403</v>
      </c>
      <c r="D4" s="49" t="s">
        <v>404</v>
      </c>
      <c r="E4" s="49" t="s">
        <v>196</v>
      </c>
      <c r="F4" s="49" t="s">
        <v>405</v>
      </c>
      <c r="G4" s="49" t="s">
        <v>406</v>
      </c>
      <c r="H4" s="49" t="s">
        <v>168</v>
      </c>
      <c r="I4" s="49"/>
      <c r="J4" s="49" t="s">
        <v>196</v>
      </c>
      <c r="K4" s="150"/>
      <c r="L4" s="150"/>
      <c r="M4" s="150"/>
      <c r="N4" s="150"/>
      <c r="O4" s="150"/>
      <c r="P4" s="150"/>
      <c r="Q4" s="150"/>
      <c r="R4" s="150"/>
      <c r="S4" s="150"/>
      <c r="T4" s="150"/>
      <c r="U4" s="150"/>
      <c r="V4" s="150"/>
      <c r="W4" s="150"/>
      <c r="X4" s="150"/>
    </row>
    <row r="5">
      <c r="A5" s="49" t="s">
        <v>407</v>
      </c>
      <c r="B5" s="89" t="s">
        <v>408</v>
      </c>
      <c r="C5" s="215" t="s">
        <v>409</v>
      </c>
      <c r="D5" s="49" t="s">
        <v>410</v>
      </c>
      <c r="E5" s="49" t="s">
        <v>411</v>
      </c>
      <c r="F5" s="49" t="s">
        <v>412</v>
      </c>
      <c r="G5" s="49" t="s">
        <v>413</v>
      </c>
      <c r="H5" s="49" t="s">
        <v>168</v>
      </c>
      <c r="I5" s="49"/>
      <c r="J5" s="49" t="s">
        <v>414</v>
      </c>
      <c r="K5" s="150"/>
      <c r="L5" s="150"/>
      <c r="M5" s="150"/>
      <c r="N5" s="150"/>
      <c r="O5" s="150"/>
      <c r="P5" s="150"/>
      <c r="Q5" s="150"/>
      <c r="R5" s="150"/>
      <c r="S5" s="150"/>
      <c r="T5" s="150"/>
      <c r="U5" s="150"/>
      <c r="V5" s="150"/>
      <c r="W5" s="150"/>
      <c r="X5" s="150"/>
    </row>
    <row r="6">
      <c r="A6" s="49" t="s">
        <v>415</v>
      </c>
      <c r="B6" s="21"/>
      <c r="C6" s="215" t="s">
        <v>416</v>
      </c>
      <c r="D6" s="49" t="s">
        <v>417</v>
      </c>
      <c r="E6" s="49" t="s">
        <v>418</v>
      </c>
      <c r="F6" s="49" t="s">
        <v>419</v>
      </c>
      <c r="G6" s="49" t="s">
        <v>420</v>
      </c>
      <c r="H6" s="49" t="s">
        <v>168</v>
      </c>
      <c r="I6" s="49"/>
      <c r="J6" s="49" t="s">
        <v>421</v>
      </c>
      <c r="K6" s="150"/>
      <c r="L6" s="150"/>
      <c r="M6" s="150"/>
      <c r="N6" s="150"/>
      <c r="O6" s="150"/>
      <c r="P6" s="150"/>
      <c r="Q6" s="150"/>
      <c r="R6" s="150"/>
      <c r="S6" s="150"/>
      <c r="T6" s="150"/>
      <c r="U6" s="150"/>
      <c r="V6" s="150"/>
      <c r="W6" s="150"/>
      <c r="X6" s="150"/>
    </row>
    <row r="7">
      <c r="A7" s="49"/>
      <c r="B7" s="216"/>
      <c r="C7" s="215"/>
      <c r="D7" s="49"/>
      <c r="E7" s="49"/>
      <c r="F7" s="49"/>
      <c r="G7" s="49"/>
      <c r="H7" s="49"/>
      <c r="I7" s="49"/>
      <c r="J7" s="49"/>
      <c r="K7" s="150"/>
      <c r="L7" s="150"/>
      <c r="M7" s="150"/>
      <c r="N7" s="150"/>
      <c r="O7" s="150"/>
      <c r="P7" s="150"/>
      <c r="Q7" s="150"/>
      <c r="R7" s="150"/>
      <c r="S7" s="150"/>
      <c r="T7" s="150"/>
      <c r="U7" s="150"/>
      <c r="V7" s="150"/>
      <c r="W7" s="150"/>
      <c r="X7" s="150"/>
    </row>
    <row r="8">
      <c r="A8" s="49" t="s">
        <v>422</v>
      </c>
      <c r="B8" s="89" t="s">
        <v>423</v>
      </c>
      <c r="C8" s="215" t="s">
        <v>424</v>
      </c>
      <c r="D8" s="49" t="s">
        <v>425</v>
      </c>
      <c r="E8" s="49" t="s">
        <v>426</v>
      </c>
      <c r="F8" s="49" t="s">
        <v>427</v>
      </c>
      <c r="G8" s="49" t="s">
        <v>428</v>
      </c>
      <c r="H8" s="49" t="s">
        <v>168</v>
      </c>
      <c r="I8" s="49"/>
      <c r="J8" s="49" t="s">
        <v>196</v>
      </c>
      <c r="K8" s="150"/>
      <c r="L8" s="150"/>
      <c r="M8" s="150"/>
      <c r="N8" s="150"/>
      <c r="O8" s="150"/>
      <c r="P8" s="150"/>
      <c r="Q8" s="150"/>
      <c r="R8" s="150"/>
      <c r="S8" s="150"/>
      <c r="T8" s="150"/>
      <c r="U8" s="150"/>
      <c r="V8" s="150"/>
      <c r="W8" s="150"/>
      <c r="X8" s="150"/>
    </row>
    <row r="9">
      <c r="A9" s="49" t="s">
        <v>429</v>
      </c>
      <c r="B9" s="21"/>
      <c r="C9" s="215" t="s">
        <v>430</v>
      </c>
      <c r="D9" s="49" t="s">
        <v>431</v>
      </c>
      <c r="E9" s="49" t="s">
        <v>432</v>
      </c>
      <c r="F9" s="49" t="s">
        <v>433</v>
      </c>
      <c r="G9" s="49" t="s">
        <v>434</v>
      </c>
      <c r="H9" s="49" t="s">
        <v>168</v>
      </c>
      <c r="I9" s="49"/>
      <c r="J9" s="49" t="s">
        <v>196</v>
      </c>
      <c r="K9" s="150"/>
      <c r="L9" s="150"/>
      <c r="M9" s="150"/>
      <c r="N9" s="150"/>
      <c r="O9" s="150"/>
      <c r="P9" s="150"/>
      <c r="Q9" s="150"/>
      <c r="R9" s="150"/>
      <c r="S9" s="150"/>
      <c r="T9" s="150"/>
      <c r="U9" s="150"/>
      <c r="V9" s="150"/>
      <c r="W9" s="150"/>
      <c r="X9" s="150"/>
    </row>
    <row r="10">
      <c r="A10" s="49" t="s">
        <v>435</v>
      </c>
      <c r="B10" s="89" t="s">
        <v>436</v>
      </c>
      <c r="C10" s="215" t="s">
        <v>437</v>
      </c>
      <c r="D10" s="49" t="s">
        <v>438</v>
      </c>
      <c r="E10" s="49" t="s">
        <v>439</v>
      </c>
      <c r="F10" s="49" t="s">
        <v>440</v>
      </c>
      <c r="G10" s="49" t="s">
        <v>441</v>
      </c>
      <c r="H10" s="49" t="s">
        <v>168</v>
      </c>
      <c r="I10" s="49"/>
      <c r="J10" s="49" t="s">
        <v>442</v>
      </c>
      <c r="K10" s="150"/>
      <c r="L10" s="150"/>
      <c r="M10" s="150"/>
      <c r="N10" s="150"/>
      <c r="O10" s="150"/>
      <c r="P10" s="150"/>
      <c r="Q10" s="150"/>
      <c r="R10" s="150"/>
      <c r="S10" s="150"/>
      <c r="T10" s="150"/>
      <c r="U10" s="150"/>
      <c r="V10" s="150"/>
      <c r="W10" s="150"/>
      <c r="X10" s="150"/>
    </row>
    <row r="11">
      <c r="A11" s="49" t="s">
        <v>443</v>
      </c>
      <c r="B11" s="92"/>
      <c r="C11" s="215" t="s">
        <v>444</v>
      </c>
      <c r="D11" s="49" t="s">
        <v>445</v>
      </c>
      <c r="E11" s="49" t="s">
        <v>446</v>
      </c>
      <c r="F11" s="49" t="s">
        <v>447</v>
      </c>
      <c r="G11" s="49" t="s">
        <v>448</v>
      </c>
      <c r="H11" s="49" t="s">
        <v>168</v>
      </c>
      <c r="I11" s="49"/>
      <c r="J11" s="49" t="s">
        <v>196</v>
      </c>
      <c r="K11" s="150"/>
      <c r="L11" s="150"/>
      <c r="M11" s="150"/>
      <c r="N11" s="150"/>
      <c r="O11" s="150"/>
      <c r="P11" s="150"/>
      <c r="Q11" s="150"/>
      <c r="R11" s="150"/>
      <c r="S11" s="150"/>
      <c r="T11" s="150"/>
      <c r="U11" s="150"/>
      <c r="V11" s="150"/>
      <c r="W11" s="150"/>
      <c r="X11" s="150"/>
    </row>
    <row r="12">
      <c r="A12" s="49" t="s">
        <v>449</v>
      </c>
      <c r="B12" s="21"/>
      <c r="C12" s="215" t="s">
        <v>450</v>
      </c>
      <c r="D12" s="49" t="s">
        <v>451</v>
      </c>
      <c r="E12" s="49" t="s">
        <v>452</v>
      </c>
      <c r="F12" s="49" t="s">
        <v>453</v>
      </c>
      <c r="G12" s="49" t="s">
        <v>454</v>
      </c>
      <c r="H12" s="49" t="s">
        <v>168</v>
      </c>
      <c r="I12" s="49"/>
      <c r="J12" s="49" t="s">
        <v>442</v>
      </c>
      <c r="K12" s="150"/>
      <c r="L12" s="150"/>
      <c r="M12" s="150"/>
      <c r="N12" s="150"/>
      <c r="O12" s="150"/>
      <c r="P12" s="150"/>
      <c r="Q12" s="150"/>
      <c r="R12" s="150"/>
      <c r="S12" s="150"/>
      <c r="T12" s="150"/>
      <c r="U12" s="150"/>
      <c r="V12" s="150"/>
      <c r="W12" s="150"/>
      <c r="X12" s="150"/>
    </row>
    <row r="13">
      <c r="A13" s="49"/>
      <c r="B13" s="216"/>
      <c r="C13" s="215"/>
      <c r="D13" s="49"/>
      <c r="E13" s="49"/>
      <c r="F13" s="49"/>
      <c r="G13" s="49"/>
      <c r="H13" s="49"/>
      <c r="I13" s="49"/>
      <c r="J13" s="49"/>
      <c r="K13" s="150"/>
      <c r="L13" s="150"/>
      <c r="M13" s="150"/>
      <c r="N13" s="150"/>
      <c r="O13" s="150"/>
      <c r="P13" s="150"/>
      <c r="Q13" s="150"/>
      <c r="R13" s="150"/>
      <c r="S13" s="150"/>
      <c r="T13" s="150"/>
      <c r="U13" s="150"/>
      <c r="V13" s="150"/>
      <c r="W13" s="150"/>
      <c r="X13" s="150"/>
    </row>
    <row r="14">
      <c r="A14" s="49" t="s">
        <v>455</v>
      </c>
      <c r="B14" s="89" t="s">
        <v>456</v>
      </c>
      <c r="C14" s="215" t="s">
        <v>457</v>
      </c>
      <c r="D14" s="49" t="s">
        <v>458</v>
      </c>
      <c r="E14" s="49" t="s">
        <v>196</v>
      </c>
      <c r="F14" s="49" t="s">
        <v>459</v>
      </c>
      <c r="G14" s="49" t="s">
        <v>460</v>
      </c>
      <c r="H14" s="49" t="s">
        <v>168</v>
      </c>
      <c r="I14" s="49"/>
      <c r="J14" s="49" t="s">
        <v>196</v>
      </c>
      <c r="K14" s="150"/>
      <c r="L14" s="150"/>
      <c r="M14" s="150"/>
      <c r="N14" s="150"/>
      <c r="O14" s="150"/>
      <c r="P14" s="150"/>
      <c r="Q14" s="150"/>
      <c r="R14" s="150"/>
      <c r="S14" s="150"/>
      <c r="T14" s="150"/>
      <c r="U14" s="150"/>
      <c r="V14" s="150"/>
      <c r="W14" s="150"/>
      <c r="X14" s="150"/>
    </row>
    <row r="15">
      <c r="A15" s="49" t="s">
        <v>461</v>
      </c>
      <c r="B15" s="21"/>
      <c r="C15" s="215" t="s">
        <v>462</v>
      </c>
      <c r="D15" s="49" t="s">
        <v>463</v>
      </c>
      <c r="E15" s="49" t="s">
        <v>196</v>
      </c>
      <c r="F15" s="49" t="s">
        <v>464</v>
      </c>
      <c r="G15" s="49" t="s">
        <v>465</v>
      </c>
      <c r="H15" s="49" t="s">
        <v>168</v>
      </c>
      <c r="I15" s="49"/>
      <c r="J15" s="49" t="s">
        <v>466</v>
      </c>
      <c r="K15" s="150"/>
      <c r="L15" s="150"/>
      <c r="M15" s="150"/>
      <c r="N15" s="150"/>
      <c r="O15" s="150"/>
      <c r="P15" s="150"/>
      <c r="Q15" s="150"/>
      <c r="R15" s="150"/>
      <c r="S15" s="150"/>
      <c r="T15" s="150"/>
      <c r="U15" s="150"/>
      <c r="V15" s="150"/>
      <c r="W15" s="150"/>
      <c r="X15" s="150"/>
    </row>
    <row r="16">
      <c r="A16" s="49" t="s">
        <v>467</v>
      </c>
      <c r="B16" s="89" t="s">
        <v>468</v>
      </c>
      <c r="C16" s="215" t="s">
        <v>469</v>
      </c>
      <c r="D16" s="49" t="s">
        <v>470</v>
      </c>
      <c r="E16" s="49" t="s">
        <v>471</v>
      </c>
      <c r="F16" s="49" t="s">
        <v>472</v>
      </c>
      <c r="G16" s="49" t="s">
        <v>473</v>
      </c>
      <c r="H16" s="49" t="s">
        <v>168</v>
      </c>
      <c r="I16" s="49"/>
      <c r="J16" s="49" t="s">
        <v>474</v>
      </c>
      <c r="K16" s="150"/>
      <c r="L16" s="150"/>
      <c r="M16" s="150"/>
      <c r="N16" s="150"/>
      <c r="O16" s="150"/>
      <c r="P16" s="150"/>
      <c r="Q16" s="150"/>
      <c r="R16" s="150"/>
      <c r="S16" s="150"/>
      <c r="T16" s="150"/>
      <c r="U16" s="150"/>
      <c r="V16" s="150"/>
      <c r="W16" s="150"/>
      <c r="X16" s="150"/>
    </row>
    <row r="17">
      <c r="A17" s="49" t="s">
        <v>475</v>
      </c>
      <c r="B17" s="21"/>
      <c r="C17" s="215" t="s">
        <v>476</v>
      </c>
      <c r="D17" s="49" t="s">
        <v>477</v>
      </c>
      <c r="E17" s="49" t="s">
        <v>478</v>
      </c>
      <c r="F17" s="49" t="s">
        <v>479</v>
      </c>
      <c r="G17" s="49" t="s">
        <v>480</v>
      </c>
      <c r="H17" s="49" t="s">
        <v>168</v>
      </c>
      <c r="I17" s="49"/>
      <c r="J17" s="49" t="s">
        <v>481</v>
      </c>
      <c r="K17" s="150"/>
      <c r="L17" s="150"/>
      <c r="M17" s="150"/>
      <c r="N17" s="150"/>
      <c r="O17" s="150"/>
      <c r="P17" s="150"/>
      <c r="Q17" s="150"/>
      <c r="R17" s="150"/>
      <c r="S17" s="150"/>
      <c r="T17" s="150"/>
      <c r="U17" s="150"/>
      <c r="V17" s="150"/>
      <c r="W17" s="150"/>
      <c r="X17" s="150"/>
    </row>
    <row r="18">
      <c r="A18" s="49"/>
      <c r="B18" s="216"/>
      <c r="C18" s="215"/>
      <c r="D18" s="49"/>
      <c r="E18" s="49"/>
      <c r="F18" s="49"/>
      <c r="G18" s="49"/>
      <c r="H18" s="49"/>
      <c r="I18" s="49"/>
      <c r="J18" s="49"/>
      <c r="K18" s="150"/>
      <c r="L18" s="150"/>
      <c r="M18" s="150"/>
      <c r="N18" s="150"/>
      <c r="O18" s="150"/>
      <c r="P18" s="150"/>
      <c r="Q18" s="150"/>
      <c r="R18" s="150"/>
      <c r="S18" s="150"/>
      <c r="T18" s="150"/>
      <c r="U18" s="150"/>
      <c r="V18" s="150"/>
      <c r="W18" s="150"/>
      <c r="X18" s="150"/>
    </row>
    <row r="19">
      <c r="A19" s="49" t="s">
        <v>482</v>
      </c>
      <c r="B19" s="216" t="s">
        <v>483</v>
      </c>
      <c r="C19" s="215" t="s">
        <v>484</v>
      </c>
      <c r="D19" s="49" t="s">
        <v>485</v>
      </c>
      <c r="E19" s="49" t="s">
        <v>196</v>
      </c>
      <c r="F19" s="49" t="s">
        <v>486</v>
      </c>
      <c r="G19" s="49" t="s">
        <v>487</v>
      </c>
      <c r="H19" s="49" t="s">
        <v>168</v>
      </c>
      <c r="I19" s="49"/>
      <c r="J19" s="49" t="s">
        <v>196</v>
      </c>
      <c r="K19" s="150"/>
      <c r="L19" s="150"/>
      <c r="M19" s="150"/>
      <c r="N19" s="150"/>
      <c r="O19" s="150"/>
      <c r="P19" s="150"/>
      <c r="Q19" s="150"/>
      <c r="R19" s="150"/>
      <c r="S19" s="150"/>
      <c r="T19" s="150"/>
      <c r="U19" s="150"/>
      <c r="V19" s="150"/>
      <c r="W19" s="150"/>
      <c r="X19" s="150"/>
    </row>
    <row r="20">
      <c r="A20" s="49" t="s">
        <v>488</v>
      </c>
      <c r="B20" s="216" t="s">
        <v>489</v>
      </c>
      <c r="C20" s="215" t="s">
        <v>490</v>
      </c>
      <c r="D20" s="49" t="s">
        <v>491</v>
      </c>
      <c r="E20" s="49" t="s">
        <v>492</v>
      </c>
      <c r="F20" s="49" t="s">
        <v>493</v>
      </c>
      <c r="G20" s="49" t="s">
        <v>494</v>
      </c>
      <c r="H20" s="49" t="s">
        <v>168</v>
      </c>
      <c r="I20" s="49"/>
      <c r="J20" s="49" t="s">
        <v>474</v>
      </c>
      <c r="K20" s="150"/>
      <c r="L20" s="150"/>
      <c r="M20" s="150"/>
      <c r="N20" s="150"/>
      <c r="O20" s="150"/>
      <c r="P20" s="150"/>
      <c r="Q20" s="150"/>
      <c r="R20" s="150"/>
      <c r="S20" s="150"/>
      <c r="T20" s="150"/>
      <c r="U20" s="150"/>
      <c r="V20" s="150"/>
      <c r="W20" s="150"/>
      <c r="X20" s="150"/>
    </row>
    <row r="21">
      <c r="A21" s="150"/>
      <c r="B21" s="182"/>
      <c r="C21" s="217"/>
      <c r="D21" s="150"/>
      <c r="E21" s="150"/>
      <c r="F21" s="150"/>
      <c r="G21" s="150"/>
      <c r="H21" s="150"/>
      <c r="I21" s="150"/>
      <c r="J21" s="150"/>
      <c r="K21" s="150"/>
      <c r="L21" s="150"/>
      <c r="M21" s="150"/>
      <c r="N21" s="150"/>
      <c r="O21" s="150"/>
      <c r="P21" s="150"/>
      <c r="Q21" s="150"/>
      <c r="R21" s="150"/>
      <c r="S21" s="150"/>
      <c r="T21" s="150"/>
      <c r="U21" s="150"/>
      <c r="V21" s="150"/>
      <c r="W21" s="150"/>
      <c r="X21" s="150"/>
    </row>
    <row r="22">
      <c r="A22" s="150"/>
      <c r="B22" s="182"/>
      <c r="C22" s="217"/>
      <c r="D22" s="150"/>
      <c r="E22" s="150"/>
      <c r="F22" s="150"/>
      <c r="G22" s="150"/>
      <c r="H22" s="150"/>
      <c r="I22" s="150"/>
      <c r="J22" s="150"/>
      <c r="K22" s="150"/>
      <c r="L22" s="150"/>
      <c r="M22" s="150"/>
      <c r="N22" s="150"/>
      <c r="O22" s="150"/>
      <c r="P22" s="150"/>
      <c r="Q22" s="150"/>
      <c r="R22" s="150"/>
      <c r="S22" s="150"/>
      <c r="T22" s="150"/>
      <c r="U22" s="150"/>
      <c r="V22" s="150"/>
      <c r="W22" s="150"/>
      <c r="X22" s="150"/>
    </row>
    <row r="23">
      <c r="A23" s="150"/>
      <c r="B23" s="182"/>
      <c r="C23" s="217"/>
      <c r="D23" s="150"/>
      <c r="E23" s="150"/>
      <c r="F23" s="150"/>
      <c r="G23" s="150"/>
      <c r="H23" s="150"/>
      <c r="I23" s="150"/>
      <c r="J23" s="150"/>
      <c r="K23" s="150"/>
      <c r="L23" s="150"/>
      <c r="M23" s="150"/>
      <c r="N23" s="150"/>
      <c r="O23" s="150"/>
      <c r="P23" s="150"/>
      <c r="Q23" s="150"/>
      <c r="R23" s="150"/>
      <c r="S23" s="150"/>
      <c r="T23" s="150"/>
      <c r="U23" s="150"/>
      <c r="V23" s="150"/>
      <c r="W23" s="150"/>
      <c r="X23" s="150"/>
    </row>
    <row r="24">
      <c r="A24" s="150"/>
      <c r="B24" s="182"/>
      <c r="C24" s="217"/>
      <c r="D24" s="150"/>
      <c r="E24" s="150"/>
      <c r="F24" s="150"/>
      <c r="G24" s="150"/>
      <c r="H24" s="150"/>
      <c r="I24" s="150"/>
      <c r="J24" s="150"/>
      <c r="K24" s="150"/>
      <c r="L24" s="150"/>
      <c r="M24" s="150"/>
      <c r="N24" s="150"/>
      <c r="O24" s="150"/>
      <c r="P24" s="150"/>
      <c r="Q24" s="150"/>
      <c r="R24" s="150"/>
      <c r="S24" s="150"/>
      <c r="T24" s="150"/>
      <c r="U24" s="150"/>
      <c r="V24" s="150"/>
      <c r="W24" s="150"/>
      <c r="X24" s="150"/>
    </row>
    <row r="25">
      <c r="A25" s="150"/>
      <c r="B25" s="182"/>
      <c r="C25" s="217"/>
      <c r="D25" s="150"/>
      <c r="E25" s="150"/>
      <c r="F25" s="150"/>
      <c r="G25" s="150"/>
      <c r="H25" s="150"/>
      <c r="I25" s="150"/>
      <c r="J25" s="150"/>
      <c r="K25" s="150"/>
      <c r="L25" s="150"/>
      <c r="M25" s="150"/>
      <c r="N25" s="150"/>
      <c r="O25" s="150"/>
      <c r="P25" s="150"/>
      <c r="Q25" s="150"/>
      <c r="R25" s="150"/>
      <c r="S25" s="150"/>
      <c r="T25" s="150"/>
      <c r="U25" s="150"/>
      <c r="V25" s="150"/>
      <c r="W25" s="150"/>
      <c r="X25" s="150"/>
    </row>
    <row r="26">
      <c r="A26" s="150"/>
      <c r="B26" s="182"/>
      <c r="C26" s="217"/>
      <c r="D26" s="150"/>
      <c r="E26" s="150"/>
      <c r="F26" s="150"/>
      <c r="G26" s="150"/>
      <c r="H26" s="150"/>
      <c r="I26" s="150"/>
      <c r="J26" s="150"/>
      <c r="K26" s="150"/>
      <c r="L26" s="150"/>
      <c r="M26" s="150"/>
      <c r="N26" s="150"/>
      <c r="O26" s="150"/>
      <c r="P26" s="150"/>
      <c r="Q26" s="150"/>
      <c r="R26" s="150"/>
      <c r="S26" s="150"/>
      <c r="T26" s="150"/>
      <c r="U26" s="150"/>
      <c r="V26" s="150"/>
      <c r="W26" s="150"/>
      <c r="X26" s="150"/>
    </row>
    <row r="27">
      <c r="A27" s="150"/>
      <c r="B27" s="182"/>
      <c r="C27" s="217"/>
      <c r="D27" s="150"/>
      <c r="E27" s="150"/>
      <c r="F27" s="150"/>
      <c r="G27" s="150"/>
      <c r="H27" s="150"/>
      <c r="I27" s="150"/>
      <c r="J27" s="150"/>
      <c r="K27" s="150"/>
      <c r="L27" s="150"/>
      <c r="M27" s="150"/>
      <c r="N27" s="150"/>
      <c r="O27" s="150"/>
      <c r="P27" s="150"/>
      <c r="Q27" s="150"/>
      <c r="R27" s="150"/>
      <c r="S27" s="150"/>
      <c r="T27" s="150"/>
      <c r="U27" s="150"/>
      <c r="V27" s="150"/>
      <c r="W27" s="150"/>
      <c r="X27" s="150"/>
    </row>
    <row r="28">
      <c r="A28" s="150"/>
      <c r="B28" s="182"/>
      <c r="C28" s="217"/>
      <c r="D28" s="150"/>
      <c r="E28" s="150"/>
      <c r="F28" s="150"/>
      <c r="G28" s="150"/>
      <c r="H28" s="150"/>
      <c r="I28" s="150"/>
      <c r="J28" s="150"/>
      <c r="K28" s="150"/>
      <c r="L28" s="150"/>
      <c r="M28" s="150"/>
      <c r="N28" s="150"/>
      <c r="O28" s="150"/>
      <c r="P28" s="150"/>
      <c r="Q28" s="150"/>
      <c r="R28" s="150"/>
      <c r="S28" s="150"/>
      <c r="T28" s="150"/>
      <c r="U28" s="150"/>
      <c r="V28" s="150"/>
      <c r="W28" s="150"/>
      <c r="X28" s="150"/>
    </row>
    <row r="29">
      <c r="A29" s="150"/>
      <c r="B29" s="182"/>
      <c r="C29" s="217"/>
      <c r="D29" s="150"/>
      <c r="E29" s="150"/>
      <c r="F29" s="150"/>
      <c r="G29" s="150"/>
      <c r="H29" s="150"/>
      <c r="I29" s="150"/>
      <c r="J29" s="150"/>
      <c r="K29" s="150"/>
      <c r="L29" s="150"/>
      <c r="M29" s="150"/>
      <c r="N29" s="150"/>
      <c r="O29" s="150"/>
      <c r="P29" s="150"/>
      <c r="Q29" s="150"/>
      <c r="R29" s="150"/>
      <c r="S29" s="150"/>
      <c r="T29" s="150"/>
      <c r="U29" s="150"/>
      <c r="V29" s="150"/>
      <c r="W29" s="150"/>
      <c r="X29" s="150"/>
    </row>
    <row r="30">
      <c r="A30" s="150"/>
      <c r="B30" s="182"/>
      <c r="C30" s="217"/>
      <c r="D30" s="150"/>
      <c r="E30" s="150"/>
      <c r="F30" s="150"/>
      <c r="G30" s="150"/>
      <c r="H30" s="150"/>
      <c r="I30" s="150"/>
      <c r="J30" s="150"/>
      <c r="K30" s="150"/>
      <c r="L30" s="150"/>
      <c r="M30" s="150"/>
      <c r="N30" s="150"/>
      <c r="O30" s="150"/>
      <c r="P30" s="150"/>
      <c r="Q30" s="150"/>
      <c r="R30" s="150"/>
      <c r="S30" s="150"/>
      <c r="T30" s="150"/>
      <c r="U30" s="150"/>
      <c r="V30" s="150"/>
      <c r="W30" s="150"/>
      <c r="X30" s="150"/>
    </row>
    <row r="31">
      <c r="A31" s="150"/>
      <c r="B31" s="182"/>
      <c r="C31" s="217"/>
      <c r="D31" s="150"/>
      <c r="E31" s="150"/>
      <c r="F31" s="150"/>
      <c r="G31" s="150"/>
      <c r="H31" s="150"/>
      <c r="I31" s="150"/>
      <c r="J31" s="150"/>
      <c r="K31" s="150"/>
      <c r="L31" s="150"/>
      <c r="M31" s="150"/>
      <c r="N31" s="150"/>
      <c r="O31" s="150"/>
      <c r="P31" s="150"/>
      <c r="Q31" s="150"/>
      <c r="R31" s="150"/>
      <c r="S31" s="150"/>
      <c r="T31" s="150"/>
      <c r="U31" s="150"/>
      <c r="V31" s="150"/>
      <c r="W31" s="150"/>
      <c r="X31" s="150"/>
    </row>
    <row r="32">
      <c r="A32" s="150"/>
      <c r="B32" s="182"/>
      <c r="C32" s="217"/>
      <c r="D32" s="150"/>
      <c r="E32" s="150"/>
      <c r="F32" s="150"/>
      <c r="G32" s="150"/>
      <c r="H32" s="150"/>
      <c r="I32" s="150"/>
      <c r="J32" s="150"/>
      <c r="K32" s="150"/>
      <c r="L32" s="150"/>
      <c r="M32" s="150"/>
      <c r="N32" s="150"/>
      <c r="O32" s="150"/>
      <c r="P32" s="150"/>
      <c r="Q32" s="150"/>
      <c r="R32" s="150"/>
      <c r="S32" s="150"/>
      <c r="T32" s="150"/>
      <c r="U32" s="150"/>
      <c r="V32" s="150"/>
      <c r="W32" s="150"/>
      <c r="X32" s="150"/>
    </row>
    <row r="33">
      <c r="A33" s="150"/>
      <c r="B33" s="182"/>
      <c r="C33" s="217"/>
      <c r="D33" s="150"/>
      <c r="E33" s="150"/>
      <c r="F33" s="150"/>
      <c r="G33" s="150"/>
      <c r="H33" s="150"/>
      <c r="I33" s="150"/>
      <c r="J33" s="150"/>
      <c r="K33" s="150"/>
      <c r="L33" s="150"/>
      <c r="M33" s="150"/>
      <c r="N33" s="150"/>
      <c r="O33" s="150"/>
      <c r="P33" s="150"/>
      <c r="Q33" s="150"/>
      <c r="R33" s="150"/>
      <c r="S33" s="150"/>
      <c r="T33" s="150"/>
      <c r="U33" s="150"/>
      <c r="V33" s="150"/>
      <c r="W33" s="150"/>
      <c r="X33" s="150"/>
    </row>
    <row r="34">
      <c r="A34" s="150"/>
      <c r="B34" s="182"/>
      <c r="C34" s="217"/>
      <c r="D34" s="150"/>
      <c r="E34" s="150"/>
      <c r="F34" s="150"/>
      <c r="G34" s="150"/>
      <c r="H34" s="150"/>
      <c r="I34" s="150"/>
      <c r="J34" s="150"/>
      <c r="K34" s="150"/>
      <c r="L34" s="150"/>
      <c r="M34" s="150"/>
      <c r="N34" s="150"/>
      <c r="O34" s="150"/>
      <c r="P34" s="150"/>
      <c r="Q34" s="150"/>
      <c r="R34" s="150"/>
      <c r="S34" s="150"/>
      <c r="T34" s="150"/>
      <c r="U34" s="150"/>
      <c r="V34" s="150"/>
      <c r="W34" s="150"/>
      <c r="X34" s="150"/>
    </row>
    <row r="35">
      <c r="A35" s="150"/>
      <c r="B35" s="182"/>
      <c r="C35" s="217"/>
      <c r="D35" s="150"/>
      <c r="E35" s="150"/>
      <c r="F35" s="150"/>
      <c r="G35" s="150"/>
      <c r="H35" s="150"/>
      <c r="I35" s="150"/>
      <c r="J35" s="150"/>
      <c r="K35" s="150"/>
      <c r="L35" s="150"/>
      <c r="M35" s="150"/>
      <c r="N35" s="150"/>
      <c r="O35" s="150"/>
      <c r="P35" s="150"/>
      <c r="Q35" s="150"/>
      <c r="R35" s="150"/>
      <c r="S35" s="150"/>
      <c r="T35" s="150"/>
      <c r="U35" s="150"/>
      <c r="V35" s="150"/>
      <c r="W35" s="150"/>
      <c r="X35" s="150"/>
    </row>
    <row r="36">
      <c r="A36" s="150"/>
      <c r="B36" s="182"/>
      <c r="C36" s="217"/>
      <c r="D36" s="150"/>
      <c r="E36" s="150"/>
      <c r="F36" s="150"/>
      <c r="G36" s="150"/>
      <c r="H36" s="150"/>
      <c r="I36" s="150"/>
      <c r="J36" s="150"/>
      <c r="K36" s="150"/>
      <c r="L36" s="150"/>
      <c r="M36" s="150"/>
      <c r="N36" s="150"/>
      <c r="O36" s="150"/>
      <c r="P36" s="150"/>
      <c r="Q36" s="150"/>
      <c r="R36" s="150"/>
      <c r="S36" s="150"/>
      <c r="T36" s="150"/>
      <c r="U36" s="150"/>
      <c r="V36" s="150"/>
      <c r="W36" s="150"/>
      <c r="X36" s="150"/>
    </row>
    <row r="37">
      <c r="A37" s="150"/>
      <c r="B37" s="182"/>
      <c r="C37" s="217"/>
      <c r="D37" s="150"/>
      <c r="E37" s="150"/>
      <c r="F37" s="150"/>
      <c r="G37" s="150"/>
      <c r="H37" s="150"/>
      <c r="I37" s="150"/>
      <c r="J37" s="150"/>
      <c r="K37" s="150"/>
      <c r="L37" s="150"/>
      <c r="M37" s="150"/>
      <c r="N37" s="150"/>
      <c r="O37" s="150"/>
      <c r="P37" s="150"/>
      <c r="Q37" s="150"/>
      <c r="R37" s="150"/>
      <c r="S37" s="150"/>
      <c r="T37" s="150"/>
      <c r="U37" s="150"/>
      <c r="V37" s="150"/>
      <c r="W37" s="150"/>
      <c r="X37" s="150"/>
    </row>
    <row r="38">
      <c r="A38" s="150"/>
      <c r="B38" s="182"/>
      <c r="C38" s="217"/>
      <c r="D38" s="150"/>
      <c r="E38" s="150"/>
      <c r="F38" s="150"/>
      <c r="G38" s="150"/>
      <c r="H38" s="150"/>
      <c r="I38" s="150"/>
      <c r="J38" s="150"/>
      <c r="K38" s="150"/>
      <c r="L38" s="150"/>
      <c r="M38" s="150"/>
      <c r="N38" s="150"/>
      <c r="O38" s="150"/>
      <c r="P38" s="150"/>
      <c r="Q38" s="150"/>
      <c r="R38" s="150"/>
      <c r="S38" s="150"/>
      <c r="T38" s="150"/>
      <c r="U38" s="150"/>
      <c r="V38" s="150"/>
      <c r="W38" s="150"/>
      <c r="X38" s="150"/>
    </row>
    <row r="39">
      <c r="A39" s="150"/>
      <c r="B39" s="182"/>
      <c r="C39" s="217"/>
      <c r="D39" s="150"/>
      <c r="E39" s="150"/>
      <c r="F39" s="150"/>
      <c r="G39" s="150"/>
      <c r="H39" s="150"/>
      <c r="I39" s="150"/>
      <c r="J39" s="150"/>
      <c r="K39" s="150"/>
      <c r="L39" s="150"/>
      <c r="M39" s="150"/>
      <c r="N39" s="150"/>
      <c r="O39" s="150"/>
      <c r="P39" s="150"/>
      <c r="Q39" s="150"/>
      <c r="R39" s="150"/>
      <c r="S39" s="150"/>
      <c r="T39" s="150"/>
      <c r="U39" s="150"/>
      <c r="V39" s="150"/>
      <c r="W39" s="150"/>
      <c r="X39" s="150"/>
    </row>
    <row r="40">
      <c r="A40" s="150"/>
      <c r="B40" s="182"/>
      <c r="C40" s="217"/>
      <c r="D40" s="150"/>
      <c r="E40" s="150"/>
      <c r="F40" s="150"/>
      <c r="G40" s="150"/>
      <c r="H40" s="150"/>
      <c r="I40" s="150"/>
      <c r="J40" s="150"/>
      <c r="K40" s="150"/>
      <c r="L40" s="150"/>
      <c r="M40" s="150"/>
      <c r="N40" s="150"/>
      <c r="O40" s="150"/>
      <c r="P40" s="150"/>
      <c r="Q40" s="150"/>
      <c r="R40" s="150"/>
      <c r="S40" s="150"/>
      <c r="T40" s="150"/>
      <c r="U40" s="150"/>
      <c r="V40" s="150"/>
      <c r="W40" s="150"/>
      <c r="X40" s="150"/>
    </row>
    <row r="41">
      <c r="A41" s="150"/>
      <c r="B41" s="182"/>
      <c r="C41" s="217"/>
      <c r="D41" s="150"/>
      <c r="E41" s="150"/>
      <c r="F41" s="150"/>
      <c r="G41" s="150"/>
      <c r="H41" s="150"/>
      <c r="I41" s="150"/>
      <c r="J41" s="150"/>
      <c r="K41" s="150"/>
      <c r="L41" s="150"/>
      <c r="M41" s="150"/>
      <c r="N41" s="150"/>
      <c r="O41" s="150"/>
      <c r="P41" s="150"/>
      <c r="Q41" s="150"/>
      <c r="R41" s="150"/>
      <c r="S41" s="150"/>
      <c r="T41" s="150"/>
      <c r="U41" s="150"/>
      <c r="V41" s="150"/>
      <c r="W41" s="150"/>
      <c r="X41" s="150"/>
    </row>
    <row r="42">
      <c r="A42" s="150"/>
      <c r="B42" s="182"/>
      <c r="C42" s="217"/>
      <c r="D42" s="150"/>
      <c r="E42" s="150"/>
      <c r="F42" s="150"/>
      <c r="G42" s="150"/>
      <c r="H42" s="150"/>
      <c r="I42" s="150"/>
      <c r="J42" s="150"/>
      <c r="K42" s="150"/>
      <c r="L42" s="150"/>
      <c r="M42" s="150"/>
      <c r="N42" s="150"/>
      <c r="O42" s="150"/>
      <c r="P42" s="150"/>
      <c r="Q42" s="150"/>
      <c r="R42" s="150"/>
      <c r="S42" s="150"/>
      <c r="T42" s="150"/>
      <c r="U42" s="150"/>
      <c r="V42" s="150"/>
      <c r="W42" s="150"/>
      <c r="X42" s="150"/>
    </row>
    <row r="43">
      <c r="A43" s="150"/>
      <c r="B43" s="182"/>
      <c r="C43" s="217"/>
      <c r="D43" s="150"/>
      <c r="E43" s="150"/>
      <c r="F43" s="150"/>
      <c r="G43" s="150"/>
      <c r="H43" s="150"/>
      <c r="I43" s="150"/>
      <c r="J43" s="150"/>
      <c r="K43" s="150"/>
      <c r="L43" s="150"/>
      <c r="M43" s="150"/>
      <c r="N43" s="150"/>
      <c r="O43" s="150"/>
      <c r="P43" s="150"/>
      <c r="Q43" s="150"/>
      <c r="R43" s="150"/>
      <c r="S43" s="150"/>
      <c r="T43" s="150"/>
      <c r="U43" s="150"/>
      <c r="V43" s="150"/>
      <c r="W43" s="150"/>
      <c r="X43" s="150"/>
    </row>
    <row r="44">
      <c r="A44" s="150"/>
      <c r="B44" s="182"/>
      <c r="C44" s="217"/>
      <c r="D44" s="150"/>
      <c r="E44" s="150"/>
      <c r="F44" s="150"/>
      <c r="G44" s="150"/>
      <c r="H44" s="150"/>
      <c r="I44" s="150"/>
      <c r="J44" s="150"/>
      <c r="K44" s="150"/>
      <c r="L44" s="150"/>
      <c r="M44" s="150"/>
      <c r="N44" s="150"/>
      <c r="O44" s="150"/>
      <c r="P44" s="150"/>
      <c r="Q44" s="150"/>
      <c r="R44" s="150"/>
      <c r="S44" s="150"/>
      <c r="T44" s="150"/>
      <c r="U44" s="150"/>
      <c r="V44" s="150"/>
      <c r="W44" s="150"/>
      <c r="X44" s="150"/>
    </row>
    <row r="45">
      <c r="A45" s="150"/>
      <c r="B45" s="182"/>
      <c r="C45" s="217"/>
      <c r="D45" s="150"/>
      <c r="E45" s="150"/>
      <c r="F45" s="150"/>
      <c r="G45" s="150"/>
      <c r="H45" s="150"/>
      <c r="I45" s="150"/>
      <c r="J45" s="150"/>
      <c r="K45" s="150"/>
      <c r="L45" s="150"/>
      <c r="M45" s="150"/>
      <c r="N45" s="150"/>
      <c r="O45" s="150"/>
      <c r="P45" s="150"/>
      <c r="Q45" s="150"/>
      <c r="R45" s="150"/>
      <c r="S45" s="150"/>
      <c r="T45" s="150"/>
      <c r="U45" s="150"/>
      <c r="V45" s="150"/>
      <c r="W45" s="150"/>
      <c r="X45" s="150"/>
    </row>
    <row r="46">
      <c r="A46" s="150"/>
      <c r="B46" s="182"/>
      <c r="C46" s="217"/>
      <c r="D46" s="150"/>
      <c r="E46" s="150"/>
      <c r="F46" s="150"/>
      <c r="G46" s="150"/>
      <c r="H46" s="150"/>
      <c r="I46" s="150"/>
      <c r="J46" s="150"/>
      <c r="K46" s="150"/>
      <c r="L46" s="150"/>
      <c r="M46" s="150"/>
      <c r="N46" s="150"/>
      <c r="O46" s="150"/>
      <c r="P46" s="150"/>
      <c r="Q46" s="150"/>
      <c r="R46" s="150"/>
      <c r="S46" s="150"/>
      <c r="T46" s="150"/>
      <c r="U46" s="150"/>
      <c r="V46" s="150"/>
      <c r="W46" s="150"/>
      <c r="X46" s="150"/>
    </row>
    <row r="47">
      <c r="A47" s="150"/>
      <c r="B47" s="182"/>
      <c r="C47" s="217"/>
      <c r="D47" s="150"/>
      <c r="E47" s="150"/>
      <c r="F47" s="150"/>
      <c r="G47" s="150"/>
      <c r="H47" s="150"/>
      <c r="I47" s="150"/>
      <c r="J47" s="150"/>
      <c r="K47" s="150"/>
      <c r="L47" s="150"/>
      <c r="M47" s="150"/>
      <c r="N47" s="150"/>
      <c r="O47" s="150"/>
      <c r="P47" s="150"/>
      <c r="Q47" s="150"/>
      <c r="R47" s="150"/>
      <c r="S47" s="150"/>
      <c r="T47" s="150"/>
      <c r="U47" s="150"/>
      <c r="V47" s="150"/>
      <c r="W47" s="150"/>
      <c r="X47" s="150"/>
    </row>
    <row r="48">
      <c r="A48" s="150"/>
      <c r="B48" s="182"/>
      <c r="C48" s="217"/>
      <c r="D48" s="150"/>
      <c r="E48" s="150"/>
      <c r="F48" s="150"/>
      <c r="G48" s="150"/>
      <c r="H48" s="150"/>
      <c r="I48" s="150"/>
      <c r="J48" s="150"/>
      <c r="K48" s="150"/>
      <c r="L48" s="150"/>
      <c r="M48" s="150"/>
      <c r="N48" s="150"/>
      <c r="O48" s="150"/>
      <c r="P48" s="150"/>
      <c r="Q48" s="150"/>
      <c r="R48" s="150"/>
      <c r="S48" s="150"/>
      <c r="T48" s="150"/>
      <c r="U48" s="150"/>
      <c r="V48" s="150"/>
      <c r="W48" s="150"/>
      <c r="X48" s="150"/>
    </row>
    <row r="49">
      <c r="A49" s="150"/>
      <c r="B49" s="182"/>
      <c r="C49" s="217"/>
      <c r="D49" s="150"/>
      <c r="E49" s="150"/>
      <c r="F49" s="150"/>
      <c r="G49" s="150"/>
      <c r="H49" s="150"/>
      <c r="I49" s="150"/>
      <c r="J49" s="150"/>
      <c r="K49" s="150"/>
      <c r="L49" s="150"/>
      <c r="M49" s="150"/>
      <c r="N49" s="150"/>
      <c r="O49" s="150"/>
      <c r="P49" s="150"/>
      <c r="Q49" s="150"/>
      <c r="R49" s="150"/>
      <c r="S49" s="150"/>
      <c r="T49" s="150"/>
      <c r="U49" s="150"/>
      <c r="V49" s="150"/>
      <c r="W49" s="150"/>
      <c r="X49" s="150"/>
    </row>
    <row r="50">
      <c r="A50" s="150"/>
      <c r="B50" s="182"/>
      <c r="C50" s="217"/>
      <c r="D50" s="150"/>
      <c r="E50" s="150"/>
      <c r="F50" s="150"/>
      <c r="G50" s="150"/>
      <c r="H50" s="150"/>
      <c r="I50" s="150"/>
      <c r="J50" s="150"/>
      <c r="K50" s="150"/>
      <c r="L50" s="150"/>
      <c r="M50" s="150"/>
      <c r="N50" s="150"/>
      <c r="O50" s="150"/>
      <c r="P50" s="150"/>
      <c r="Q50" s="150"/>
      <c r="R50" s="150"/>
      <c r="S50" s="150"/>
      <c r="T50" s="150"/>
      <c r="U50" s="150"/>
      <c r="V50" s="150"/>
      <c r="W50" s="150"/>
      <c r="X50" s="150"/>
    </row>
    <row r="51">
      <c r="A51" s="150"/>
      <c r="B51" s="182"/>
      <c r="C51" s="217"/>
      <c r="D51" s="150"/>
      <c r="E51" s="150"/>
      <c r="F51" s="150"/>
      <c r="G51" s="150"/>
      <c r="H51" s="150"/>
      <c r="I51" s="150"/>
      <c r="J51" s="150"/>
      <c r="K51" s="150"/>
      <c r="L51" s="150"/>
      <c r="M51" s="150"/>
      <c r="N51" s="150"/>
      <c r="O51" s="150"/>
      <c r="P51" s="150"/>
      <c r="Q51" s="150"/>
      <c r="R51" s="150"/>
      <c r="S51" s="150"/>
      <c r="T51" s="150"/>
      <c r="U51" s="150"/>
      <c r="V51" s="150"/>
      <c r="W51" s="150"/>
      <c r="X51" s="150"/>
    </row>
    <row r="52">
      <c r="A52" s="150"/>
      <c r="B52" s="182"/>
      <c r="C52" s="217"/>
      <c r="D52" s="150"/>
      <c r="E52" s="150"/>
      <c r="F52" s="150"/>
      <c r="G52" s="150"/>
      <c r="H52" s="150"/>
      <c r="I52" s="150"/>
      <c r="J52" s="150"/>
      <c r="K52" s="150"/>
      <c r="L52" s="150"/>
      <c r="M52" s="150"/>
      <c r="N52" s="150"/>
      <c r="O52" s="150"/>
      <c r="P52" s="150"/>
      <c r="Q52" s="150"/>
      <c r="R52" s="150"/>
      <c r="S52" s="150"/>
      <c r="T52" s="150"/>
      <c r="U52" s="150"/>
      <c r="V52" s="150"/>
      <c r="W52" s="150"/>
      <c r="X52" s="150"/>
    </row>
    <row r="53">
      <c r="A53" s="150"/>
      <c r="B53" s="182"/>
      <c r="C53" s="217"/>
      <c r="D53" s="150"/>
      <c r="E53" s="150"/>
      <c r="F53" s="150"/>
      <c r="G53" s="150"/>
      <c r="H53" s="150"/>
      <c r="I53" s="150"/>
      <c r="J53" s="150"/>
      <c r="K53" s="150"/>
      <c r="L53" s="150"/>
      <c r="M53" s="150"/>
      <c r="N53" s="150"/>
      <c r="O53" s="150"/>
      <c r="P53" s="150"/>
      <c r="Q53" s="150"/>
      <c r="R53" s="150"/>
      <c r="S53" s="150"/>
      <c r="T53" s="150"/>
      <c r="U53" s="150"/>
      <c r="V53" s="150"/>
      <c r="W53" s="150"/>
      <c r="X53" s="150"/>
    </row>
    <row r="54">
      <c r="A54" s="150"/>
      <c r="B54" s="182"/>
      <c r="C54" s="217"/>
      <c r="D54" s="150"/>
      <c r="E54" s="150"/>
      <c r="F54" s="150"/>
      <c r="G54" s="150"/>
      <c r="H54" s="150"/>
      <c r="I54" s="150"/>
      <c r="J54" s="150"/>
      <c r="K54" s="150"/>
      <c r="L54" s="150"/>
      <c r="M54" s="150"/>
      <c r="N54" s="150"/>
      <c r="O54" s="150"/>
      <c r="P54" s="150"/>
      <c r="Q54" s="150"/>
      <c r="R54" s="150"/>
      <c r="S54" s="150"/>
      <c r="T54" s="150"/>
      <c r="U54" s="150"/>
      <c r="V54" s="150"/>
      <c r="W54" s="150"/>
      <c r="X54" s="150"/>
    </row>
    <row r="55">
      <c r="A55" s="150"/>
      <c r="B55" s="182"/>
      <c r="C55" s="217"/>
      <c r="D55" s="150"/>
      <c r="E55" s="150"/>
      <c r="F55" s="150"/>
      <c r="G55" s="150"/>
      <c r="H55" s="150"/>
      <c r="I55" s="150"/>
      <c r="J55" s="150"/>
      <c r="K55" s="150"/>
      <c r="L55" s="150"/>
      <c r="M55" s="150"/>
      <c r="N55" s="150"/>
      <c r="O55" s="150"/>
      <c r="P55" s="150"/>
      <c r="Q55" s="150"/>
      <c r="R55" s="150"/>
      <c r="S55" s="150"/>
      <c r="T55" s="150"/>
      <c r="U55" s="150"/>
      <c r="V55" s="150"/>
      <c r="W55" s="150"/>
      <c r="X55" s="150"/>
    </row>
    <row r="56">
      <c r="A56" s="150"/>
      <c r="B56" s="182"/>
      <c r="C56" s="217"/>
      <c r="D56" s="150"/>
      <c r="E56" s="150"/>
      <c r="F56" s="150"/>
      <c r="G56" s="150"/>
      <c r="H56" s="150"/>
      <c r="I56" s="150"/>
      <c r="J56" s="150"/>
      <c r="K56" s="150"/>
      <c r="L56" s="150"/>
      <c r="M56" s="150"/>
      <c r="N56" s="150"/>
      <c r="O56" s="150"/>
      <c r="P56" s="150"/>
      <c r="Q56" s="150"/>
      <c r="R56" s="150"/>
      <c r="S56" s="150"/>
      <c r="T56" s="150"/>
      <c r="U56" s="150"/>
      <c r="V56" s="150"/>
      <c r="W56" s="150"/>
      <c r="X56" s="150"/>
    </row>
    <row r="57">
      <c r="A57" s="150"/>
      <c r="B57" s="182"/>
      <c r="C57" s="217"/>
      <c r="D57" s="150"/>
      <c r="E57" s="150"/>
      <c r="F57" s="150"/>
      <c r="G57" s="150"/>
      <c r="H57" s="150"/>
      <c r="I57" s="150"/>
      <c r="J57" s="150"/>
      <c r="K57" s="150"/>
      <c r="L57" s="150"/>
      <c r="M57" s="150"/>
      <c r="N57" s="150"/>
      <c r="O57" s="150"/>
      <c r="P57" s="150"/>
      <c r="Q57" s="150"/>
      <c r="R57" s="150"/>
      <c r="S57" s="150"/>
      <c r="T57" s="150"/>
      <c r="U57" s="150"/>
      <c r="V57" s="150"/>
      <c r="W57" s="150"/>
      <c r="X57" s="150"/>
    </row>
    <row r="58">
      <c r="A58" s="150"/>
      <c r="B58" s="182"/>
      <c r="C58" s="217"/>
      <c r="D58" s="150"/>
      <c r="E58" s="150"/>
      <c r="F58" s="150"/>
      <c r="G58" s="150"/>
      <c r="H58" s="150"/>
      <c r="I58" s="150"/>
      <c r="J58" s="150"/>
      <c r="K58" s="150"/>
      <c r="L58" s="150"/>
      <c r="M58" s="150"/>
      <c r="N58" s="150"/>
      <c r="O58" s="150"/>
      <c r="P58" s="150"/>
      <c r="Q58" s="150"/>
      <c r="R58" s="150"/>
      <c r="S58" s="150"/>
      <c r="T58" s="150"/>
      <c r="U58" s="150"/>
      <c r="V58" s="150"/>
      <c r="W58" s="150"/>
      <c r="X58" s="150"/>
    </row>
    <row r="59">
      <c r="A59" s="150"/>
      <c r="B59" s="182"/>
      <c r="C59" s="217"/>
      <c r="D59" s="150"/>
      <c r="E59" s="150"/>
      <c r="F59" s="150"/>
      <c r="G59" s="150"/>
      <c r="H59" s="150"/>
      <c r="I59" s="150"/>
      <c r="J59" s="150"/>
      <c r="K59" s="150"/>
      <c r="L59" s="150"/>
      <c r="M59" s="150"/>
      <c r="N59" s="150"/>
      <c r="O59" s="150"/>
      <c r="P59" s="150"/>
      <c r="Q59" s="150"/>
      <c r="R59" s="150"/>
      <c r="S59" s="150"/>
      <c r="T59" s="150"/>
      <c r="U59" s="150"/>
      <c r="V59" s="150"/>
      <c r="W59" s="150"/>
      <c r="X59" s="150"/>
    </row>
    <row r="60">
      <c r="A60" s="150"/>
      <c r="B60" s="182"/>
      <c r="C60" s="217"/>
      <c r="D60" s="150"/>
      <c r="E60" s="150"/>
      <c r="F60" s="150"/>
      <c r="G60" s="150"/>
      <c r="H60" s="150"/>
      <c r="I60" s="150"/>
      <c r="J60" s="150"/>
      <c r="K60" s="150"/>
      <c r="L60" s="150"/>
      <c r="M60" s="150"/>
      <c r="N60" s="150"/>
      <c r="O60" s="150"/>
      <c r="P60" s="150"/>
      <c r="Q60" s="150"/>
      <c r="R60" s="150"/>
      <c r="S60" s="150"/>
      <c r="T60" s="150"/>
      <c r="U60" s="150"/>
      <c r="V60" s="150"/>
      <c r="W60" s="150"/>
      <c r="X60" s="150"/>
    </row>
    <row r="61">
      <c r="A61" s="150"/>
      <c r="B61" s="182"/>
      <c r="C61" s="217"/>
      <c r="D61" s="150"/>
      <c r="E61" s="150"/>
      <c r="F61" s="150"/>
      <c r="G61" s="150"/>
      <c r="H61" s="150"/>
      <c r="I61" s="150"/>
      <c r="J61" s="150"/>
      <c r="K61" s="150"/>
      <c r="L61" s="150"/>
      <c r="M61" s="150"/>
      <c r="N61" s="150"/>
      <c r="O61" s="150"/>
      <c r="P61" s="150"/>
      <c r="Q61" s="150"/>
      <c r="R61" s="150"/>
      <c r="S61" s="150"/>
      <c r="T61" s="150"/>
      <c r="U61" s="150"/>
      <c r="V61" s="150"/>
      <c r="W61" s="150"/>
      <c r="X61" s="150"/>
    </row>
    <row r="62">
      <c r="A62" s="150"/>
      <c r="B62" s="182"/>
      <c r="C62" s="217"/>
      <c r="D62" s="150"/>
      <c r="E62" s="150"/>
      <c r="F62" s="150"/>
      <c r="G62" s="150"/>
      <c r="H62" s="150"/>
      <c r="I62" s="150"/>
      <c r="J62" s="150"/>
      <c r="K62" s="150"/>
      <c r="L62" s="150"/>
      <c r="M62" s="150"/>
      <c r="N62" s="150"/>
      <c r="O62" s="150"/>
      <c r="P62" s="150"/>
      <c r="Q62" s="150"/>
      <c r="R62" s="150"/>
      <c r="S62" s="150"/>
      <c r="T62" s="150"/>
      <c r="U62" s="150"/>
      <c r="V62" s="150"/>
      <c r="W62" s="150"/>
      <c r="X62" s="150"/>
    </row>
    <row r="63">
      <c r="A63" s="150"/>
      <c r="B63" s="182"/>
      <c r="C63" s="217"/>
      <c r="D63" s="150"/>
      <c r="E63" s="150"/>
      <c r="F63" s="150"/>
      <c r="G63" s="150"/>
      <c r="H63" s="150"/>
      <c r="I63" s="150"/>
      <c r="J63" s="150"/>
      <c r="K63" s="150"/>
      <c r="L63" s="150"/>
      <c r="M63" s="150"/>
      <c r="N63" s="150"/>
      <c r="O63" s="150"/>
      <c r="P63" s="150"/>
      <c r="Q63" s="150"/>
      <c r="R63" s="150"/>
      <c r="S63" s="150"/>
      <c r="T63" s="150"/>
      <c r="U63" s="150"/>
      <c r="V63" s="150"/>
      <c r="W63" s="150"/>
      <c r="X63" s="150"/>
    </row>
    <row r="64">
      <c r="A64" s="150"/>
      <c r="B64" s="182"/>
      <c r="C64" s="217"/>
      <c r="D64" s="150"/>
      <c r="E64" s="150"/>
      <c r="F64" s="150"/>
      <c r="G64" s="150"/>
      <c r="H64" s="150"/>
      <c r="I64" s="150"/>
      <c r="J64" s="150"/>
      <c r="K64" s="150"/>
      <c r="L64" s="150"/>
      <c r="M64" s="150"/>
      <c r="N64" s="150"/>
      <c r="O64" s="150"/>
      <c r="P64" s="150"/>
      <c r="Q64" s="150"/>
      <c r="R64" s="150"/>
      <c r="S64" s="150"/>
      <c r="T64" s="150"/>
      <c r="U64" s="150"/>
      <c r="V64" s="150"/>
      <c r="W64" s="150"/>
      <c r="X64" s="150"/>
    </row>
    <row r="65">
      <c r="A65" s="150"/>
      <c r="B65" s="182"/>
      <c r="C65" s="217"/>
      <c r="D65" s="150"/>
      <c r="E65" s="150"/>
      <c r="F65" s="150"/>
      <c r="G65" s="150"/>
      <c r="H65" s="150"/>
      <c r="I65" s="150"/>
      <c r="J65" s="150"/>
      <c r="K65" s="150"/>
      <c r="L65" s="150"/>
      <c r="M65" s="150"/>
      <c r="N65" s="150"/>
      <c r="O65" s="150"/>
      <c r="P65" s="150"/>
      <c r="Q65" s="150"/>
      <c r="R65" s="150"/>
      <c r="S65" s="150"/>
      <c r="T65" s="150"/>
      <c r="U65" s="150"/>
      <c r="V65" s="150"/>
      <c r="W65" s="150"/>
      <c r="X65" s="150"/>
    </row>
    <row r="66">
      <c r="A66" s="150"/>
      <c r="B66" s="182"/>
      <c r="C66" s="217"/>
      <c r="D66" s="150"/>
      <c r="E66" s="150"/>
      <c r="F66" s="150"/>
      <c r="G66" s="150"/>
      <c r="H66" s="150"/>
      <c r="I66" s="150"/>
      <c r="J66" s="150"/>
      <c r="K66" s="150"/>
      <c r="L66" s="150"/>
      <c r="M66" s="150"/>
      <c r="N66" s="150"/>
      <c r="O66" s="150"/>
      <c r="P66" s="150"/>
      <c r="Q66" s="150"/>
      <c r="R66" s="150"/>
      <c r="S66" s="150"/>
      <c r="T66" s="150"/>
      <c r="U66" s="150"/>
      <c r="V66" s="150"/>
      <c r="W66" s="150"/>
      <c r="X66" s="150"/>
    </row>
    <row r="67">
      <c r="A67" s="150"/>
      <c r="B67" s="182"/>
      <c r="C67" s="217"/>
      <c r="D67" s="150"/>
      <c r="E67" s="150"/>
      <c r="F67" s="150"/>
      <c r="G67" s="150"/>
      <c r="H67" s="150"/>
      <c r="I67" s="150"/>
      <c r="J67" s="150"/>
      <c r="K67" s="150"/>
      <c r="L67" s="150"/>
      <c r="M67" s="150"/>
      <c r="N67" s="150"/>
      <c r="O67" s="150"/>
      <c r="P67" s="150"/>
      <c r="Q67" s="150"/>
      <c r="R67" s="150"/>
      <c r="S67" s="150"/>
      <c r="T67" s="150"/>
      <c r="U67" s="150"/>
      <c r="V67" s="150"/>
      <c r="W67" s="150"/>
      <c r="X67" s="150"/>
    </row>
    <row r="68">
      <c r="A68" s="150"/>
      <c r="B68" s="182"/>
      <c r="C68" s="217"/>
      <c r="D68" s="150"/>
      <c r="E68" s="150"/>
      <c r="F68" s="150"/>
      <c r="G68" s="150"/>
      <c r="H68" s="150"/>
      <c r="I68" s="150"/>
      <c r="J68" s="150"/>
      <c r="K68" s="150"/>
      <c r="L68" s="150"/>
      <c r="M68" s="150"/>
      <c r="N68" s="150"/>
      <c r="O68" s="150"/>
      <c r="P68" s="150"/>
      <c r="Q68" s="150"/>
      <c r="R68" s="150"/>
      <c r="S68" s="150"/>
      <c r="T68" s="150"/>
      <c r="U68" s="150"/>
      <c r="V68" s="150"/>
      <c r="W68" s="150"/>
      <c r="X68" s="150"/>
    </row>
    <row r="69">
      <c r="A69" s="150"/>
      <c r="B69" s="182"/>
      <c r="C69" s="217"/>
      <c r="D69" s="150"/>
      <c r="E69" s="150"/>
      <c r="F69" s="150"/>
      <c r="G69" s="150"/>
      <c r="H69" s="150"/>
      <c r="I69" s="150"/>
      <c r="J69" s="150"/>
      <c r="K69" s="150"/>
      <c r="L69" s="150"/>
      <c r="M69" s="150"/>
      <c r="N69" s="150"/>
      <c r="O69" s="150"/>
      <c r="P69" s="150"/>
      <c r="Q69" s="150"/>
      <c r="R69" s="150"/>
      <c r="S69" s="150"/>
      <c r="T69" s="150"/>
      <c r="U69" s="150"/>
      <c r="V69" s="150"/>
      <c r="W69" s="150"/>
      <c r="X69" s="150"/>
    </row>
    <row r="70">
      <c r="A70" s="150"/>
      <c r="B70" s="182"/>
      <c r="C70" s="217"/>
      <c r="D70" s="150"/>
      <c r="E70" s="150"/>
      <c r="F70" s="150"/>
      <c r="G70" s="150"/>
      <c r="H70" s="150"/>
      <c r="I70" s="150"/>
      <c r="J70" s="150"/>
      <c r="K70" s="150"/>
      <c r="L70" s="150"/>
      <c r="M70" s="150"/>
      <c r="N70" s="150"/>
      <c r="O70" s="150"/>
      <c r="P70" s="150"/>
      <c r="Q70" s="150"/>
      <c r="R70" s="150"/>
      <c r="S70" s="150"/>
      <c r="T70" s="150"/>
      <c r="U70" s="150"/>
      <c r="V70" s="150"/>
      <c r="W70" s="150"/>
      <c r="X70" s="150"/>
    </row>
    <row r="71">
      <c r="A71" s="150"/>
      <c r="B71" s="182"/>
      <c r="C71" s="217"/>
      <c r="D71" s="150"/>
      <c r="E71" s="150"/>
      <c r="F71" s="150"/>
      <c r="G71" s="150"/>
      <c r="H71" s="150"/>
      <c r="I71" s="150"/>
      <c r="J71" s="150"/>
      <c r="K71" s="150"/>
      <c r="L71" s="150"/>
      <c r="M71" s="150"/>
      <c r="N71" s="150"/>
      <c r="O71" s="150"/>
      <c r="P71" s="150"/>
      <c r="Q71" s="150"/>
      <c r="R71" s="150"/>
      <c r="S71" s="150"/>
      <c r="T71" s="150"/>
      <c r="U71" s="150"/>
      <c r="V71" s="150"/>
      <c r="W71" s="150"/>
      <c r="X71" s="150"/>
    </row>
    <row r="72">
      <c r="A72" s="150"/>
      <c r="B72" s="182"/>
      <c r="C72" s="217"/>
      <c r="D72" s="150"/>
      <c r="E72" s="150"/>
      <c r="F72" s="150"/>
      <c r="G72" s="150"/>
      <c r="H72" s="150"/>
      <c r="I72" s="150"/>
      <c r="J72" s="150"/>
      <c r="K72" s="150"/>
      <c r="L72" s="150"/>
      <c r="M72" s="150"/>
      <c r="N72" s="150"/>
      <c r="O72" s="150"/>
      <c r="P72" s="150"/>
      <c r="Q72" s="150"/>
      <c r="R72" s="150"/>
      <c r="S72" s="150"/>
      <c r="T72" s="150"/>
      <c r="U72" s="150"/>
      <c r="V72" s="150"/>
      <c r="W72" s="150"/>
      <c r="X72" s="150"/>
    </row>
    <row r="73">
      <c r="A73" s="150"/>
      <c r="B73" s="182"/>
      <c r="C73" s="217"/>
      <c r="D73" s="150"/>
      <c r="E73" s="150"/>
      <c r="F73" s="150"/>
      <c r="G73" s="150"/>
      <c r="H73" s="150"/>
      <c r="I73" s="150"/>
      <c r="J73" s="150"/>
      <c r="K73" s="150"/>
      <c r="L73" s="150"/>
      <c r="M73" s="150"/>
      <c r="N73" s="150"/>
      <c r="O73" s="150"/>
      <c r="P73" s="150"/>
      <c r="Q73" s="150"/>
      <c r="R73" s="150"/>
      <c r="S73" s="150"/>
      <c r="T73" s="150"/>
      <c r="U73" s="150"/>
      <c r="V73" s="150"/>
      <c r="W73" s="150"/>
      <c r="X73" s="150"/>
    </row>
    <row r="74">
      <c r="A74" s="150"/>
      <c r="B74" s="182"/>
      <c r="C74" s="217"/>
      <c r="D74" s="150"/>
      <c r="E74" s="150"/>
      <c r="F74" s="150"/>
      <c r="G74" s="150"/>
      <c r="H74" s="150"/>
      <c r="I74" s="150"/>
      <c r="J74" s="150"/>
      <c r="K74" s="150"/>
      <c r="L74" s="150"/>
      <c r="M74" s="150"/>
      <c r="N74" s="150"/>
      <c r="O74" s="150"/>
      <c r="P74" s="150"/>
      <c r="Q74" s="150"/>
      <c r="R74" s="150"/>
      <c r="S74" s="150"/>
      <c r="T74" s="150"/>
      <c r="U74" s="150"/>
      <c r="V74" s="150"/>
      <c r="W74" s="150"/>
      <c r="X74" s="150"/>
    </row>
    <row r="75">
      <c r="A75" s="150"/>
      <c r="B75" s="182"/>
      <c r="C75" s="217"/>
      <c r="D75" s="150"/>
      <c r="E75" s="150"/>
      <c r="F75" s="150"/>
      <c r="G75" s="150"/>
      <c r="H75" s="150"/>
      <c r="I75" s="150"/>
      <c r="J75" s="150"/>
      <c r="K75" s="150"/>
      <c r="L75" s="150"/>
      <c r="M75" s="150"/>
      <c r="N75" s="150"/>
      <c r="O75" s="150"/>
      <c r="P75" s="150"/>
      <c r="Q75" s="150"/>
      <c r="R75" s="150"/>
      <c r="S75" s="150"/>
      <c r="T75" s="150"/>
      <c r="U75" s="150"/>
      <c r="V75" s="150"/>
      <c r="W75" s="150"/>
      <c r="X75" s="150"/>
    </row>
    <row r="76">
      <c r="A76" s="150"/>
      <c r="B76" s="182"/>
      <c r="C76" s="217"/>
      <c r="D76" s="150"/>
      <c r="E76" s="150"/>
      <c r="F76" s="150"/>
      <c r="G76" s="150"/>
      <c r="H76" s="150"/>
      <c r="I76" s="150"/>
      <c r="J76" s="150"/>
      <c r="K76" s="150"/>
      <c r="L76" s="150"/>
      <c r="M76" s="150"/>
      <c r="N76" s="150"/>
      <c r="O76" s="150"/>
      <c r="P76" s="150"/>
      <c r="Q76" s="150"/>
      <c r="R76" s="150"/>
      <c r="S76" s="150"/>
      <c r="T76" s="150"/>
      <c r="U76" s="150"/>
      <c r="V76" s="150"/>
      <c r="W76" s="150"/>
      <c r="X76" s="150"/>
    </row>
    <row r="77">
      <c r="A77" s="150"/>
      <c r="B77" s="182"/>
      <c r="C77" s="217"/>
      <c r="D77" s="150"/>
      <c r="E77" s="150"/>
      <c r="F77" s="150"/>
      <c r="G77" s="150"/>
      <c r="H77" s="150"/>
      <c r="I77" s="150"/>
      <c r="J77" s="150"/>
      <c r="K77" s="150"/>
      <c r="L77" s="150"/>
      <c r="M77" s="150"/>
      <c r="N77" s="150"/>
      <c r="O77" s="150"/>
      <c r="P77" s="150"/>
      <c r="Q77" s="150"/>
      <c r="R77" s="150"/>
      <c r="S77" s="150"/>
      <c r="T77" s="150"/>
      <c r="U77" s="150"/>
      <c r="V77" s="150"/>
      <c r="W77" s="150"/>
      <c r="X77" s="150"/>
    </row>
    <row r="78">
      <c r="A78" s="150"/>
      <c r="B78" s="182"/>
      <c r="C78" s="217"/>
      <c r="D78" s="150"/>
      <c r="E78" s="150"/>
      <c r="F78" s="150"/>
      <c r="G78" s="150"/>
      <c r="H78" s="150"/>
      <c r="I78" s="150"/>
      <c r="J78" s="150"/>
      <c r="K78" s="150"/>
      <c r="L78" s="150"/>
      <c r="M78" s="150"/>
      <c r="N78" s="150"/>
      <c r="O78" s="150"/>
      <c r="P78" s="150"/>
      <c r="Q78" s="150"/>
      <c r="R78" s="150"/>
      <c r="S78" s="150"/>
      <c r="T78" s="150"/>
      <c r="U78" s="150"/>
      <c r="V78" s="150"/>
      <c r="W78" s="150"/>
      <c r="X78" s="150"/>
    </row>
    <row r="79">
      <c r="A79" s="150"/>
      <c r="B79" s="182"/>
      <c r="C79" s="217"/>
      <c r="D79" s="150"/>
      <c r="E79" s="150"/>
      <c r="F79" s="150"/>
      <c r="G79" s="150"/>
      <c r="H79" s="150"/>
      <c r="I79" s="150"/>
      <c r="J79" s="150"/>
      <c r="K79" s="150"/>
      <c r="L79" s="150"/>
      <c r="M79" s="150"/>
      <c r="N79" s="150"/>
      <c r="O79" s="150"/>
      <c r="P79" s="150"/>
      <c r="Q79" s="150"/>
      <c r="R79" s="150"/>
      <c r="S79" s="150"/>
      <c r="T79" s="150"/>
      <c r="U79" s="150"/>
      <c r="V79" s="150"/>
      <c r="W79" s="150"/>
      <c r="X79" s="150"/>
    </row>
    <row r="80">
      <c r="A80" s="150"/>
      <c r="B80" s="182"/>
      <c r="C80" s="217"/>
      <c r="D80" s="150"/>
      <c r="E80" s="150"/>
      <c r="F80" s="150"/>
      <c r="G80" s="150"/>
      <c r="H80" s="150"/>
      <c r="I80" s="150"/>
      <c r="J80" s="150"/>
      <c r="K80" s="150"/>
      <c r="L80" s="150"/>
      <c r="M80" s="150"/>
      <c r="N80" s="150"/>
      <c r="O80" s="150"/>
      <c r="P80" s="150"/>
      <c r="Q80" s="150"/>
      <c r="R80" s="150"/>
      <c r="S80" s="150"/>
      <c r="T80" s="150"/>
      <c r="U80" s="150"/>
      <c r="V80" s="150"/>
      <c r="W80" s="150"/>
      <c r="X80" s="150"/>
    </row>
    <row r="81">
      <c r="A81" s="150"/>
      <c r="B81" s="182"/>
      <c r="C81" s="217"/>
      <c r="D81" s="150"/>
      <c r="E81" s="150"/>
      <c r="F81" s="150"/>
      <c r="G81" s="150"/>
      <c r="H81" s="150"/>
      <c r="I81" s="150"/>
      <c r="J81" s="150"/>
      <c r="K81" s="150"/>
      <c r="L81" s="150"/>
      <c r="M81" s="150"/>
      <c r="N81" s="150"/>
      <c r="O81" s="150"/>
      <c r="P81" s="150"/>
      <c r="Q81" s="150"/>
      <c r="R81" s="150"/>
      <c r="S81" s="150"/>
      <c r="T81" s="150"/>
      <c r="U81" s="150"/>
      <c r="V81" s="150"/>
      <c r="W81" s="150"/>
      <c r="X81" s="150"/>
    </row>
    <row r="82">
      <c r="A82" s="150"/>
      <c r="B82" s="182"/>
      <c r="C82" s="217"/>
      <c r="D82" s="150"/>
      <c r="E82" s="150"/>
      <c r="F82" s="150"/>
      <c r="G82" s="150"/>
      <c r="H82" s="150"/>
      <c r="I82" s="150"/>
      <c r="J82" s="150"/>
      <c r="K82" s="150"/>
      <c r="L82" s="150"/>
      <c r="M82" s="150"/>
      <c r="N82" s="150"/>
      <c r="O82" s="150"/>
      <c r="P82" s="150"/>
      <c r="Q82" s="150"/>
      <c r="R82" s="150"/>
      <c r="S82" s="150"/>
      <c r="T82" s="150"/>
      <c r="U82" s="150"/>
      <c r="V82" s="150"/>
      <c r="W82" s="150"/>
      <c r="X82" s="150"/>
    </row>
    <row r="83">
      <c r="A83" s="150"/>
      <c r="B83" s="182"/>
      <c r="C83" s="217"/>
      <c r="D83" s="150"/>
      <c r="E83" s="150"/>
      <c r="F83" s="150"/>
      <c r="G83" s="150"/>
      <c r="H83" s="150"/>
      <c r="I83" s="150"/>
      <c r="J83" s="150"/>
      <c r="K83" s="150"/>
      <c r="L83" s="150"/>
      <c r="M83" s="150"/>
      <c r="N83" s="150"/>
      <c r="O83" s="150"/>
      <c r="P83" s="150"/>
      <c r="Q83" s="150"/>
      <c r="R83" s="150"/>
      <c r="S83" s="150"/>
      <c r="T83" s="150"/>
      <c r="U83" s="150"/>
      <c r="V83" s="150"/>
      <c r="W83" s="150"/>
      <c r="X83" s="150"/>
    </row>
    <row r="84">
      <c r="A84" s="150"/>
      <c r="B84" s="182"/>
      <c r="C84" s="217"/>
      <c r="D84" s="150"/>
      <c r="E84" s="150"/>
      <c r="F84" s="150"/>
      <c r="G84" s="150"/>
      <c r="H84" s="150"/>
      <c r="I84" s="150"/>
      <c r="J84" s="150"/>
      <c r="K84" s="150"/>
      <c r="L84" s="150"/>
      <c r="M84" s="150"/>
      <c r="N84" s="150"/>
      <c r="O84" s="150"/>
      <c r="P84" s="150"/>
      <c r="Q84" s="150"/>
      <c r="R84" s="150"/>
      <c r="S84" s="150"/>
      <c r="T84" s="150"/>
      <c r="U84" s="150"/>
      <c r="V84" s="150"/>
      <c r="W84" s="150"/>
      <c r="X84" s="150"/>
    </row>
    <row r="85">
      <c r="A85" s="150"/>
      <c r="B85" s="182"/>
      <c r="C85" s="217"/>
      <c r="D85" s="150"/>
      <c r="E85" s="150"/>
      <c r="F85" s="150"/>
      <c r="G85" s="150"/>
      <c r="H85" s="150"/>
      <c r="I85" s="150"/>
      <c r="J85" s="150"/>
      <c r="K85" s="150"/>
      <c r="L85" s="150"/>
      <c r="M85" s="150"/>
      <c r="N85" s="150"/>
      <c r="O85" s="150"/>
      <c r="P85" s="150"/>
      <c r="Q85" s="150"/>
      <c r="R85" s="150"/>
      <c r="S85" s="150"/>
      <c r="T85" s="150"/>
      <c r="U85" s="150"/>
      <c r="V85" s="150"/>
      <c r="W85" s="150"/>
      <c r="X85" s="150"/>
    </row>
    <row r="86">
      <c r="A86" s="150"/>
      <c r="B86" s="182"/>
      <c r="C86" s="217"/>
      <c r="D86" s="150"/>
      <c r="E86" s="150"/>
      <c r="F86" s="150"/>
      <c r="G86" s="150"/>
      <c r="H86" s="150"/>
      <c r="I86" s="150"/>
      <c r="J86" s="150"/>
      <c r="K86" s="150"/>
      <c r="L86" s="150"/>
      <c r="M86" s="150"/>
      <c r="N86" s="150"/>
      <c r="O86" s="150"/>
      <c r="P86" s="150"/>
      <c r="Q86" s="150"/>
      <c r="R86" s="150"/>
      <c r="S86" s="150"/>
      <c r="T86" s="150"/>
      <c r="U86" s="150"/>
      <c r="V86" s="150"/>
      <c r="W86" s="150"/>
      <c r="X86" s="150"/>
    </row>
    <row r="87">
      <c r="A87" s="150"/>
      <c r="B87" s="182"/>
      <c r="C87" s="217"/>
      <c r="D87" s="150"/>
      <c r="E87" s="150"/>
      <c r="F87" s="150"/>
      <c r="G87" s="150"/>
      <c r="H87" s="150"/>
      <c r="I87" s="150"/>
      <c r="J87" s="150"/>
      <c r="K87" s="150"/>
      <c r="L87" s="150"/>
      <c r="M87" s="150"/>
      <c r="N87" s="150"/>
      <c r="O87" s="150"/>
      <c r="P87" s="150"/>
      <c r="Q87" s="150"/>
      <c r="R87" s="150"/>
      <c r="S87" s="150"/>
      <c r="T87" s="150"/>
      <c r="U87" s="150"/>
      <c r="V87" s="150"/>
      <c r="W87" s="150"/>
      <c r="X87" s="150"/>
    </row>
    <row r="88">
      <c r="A88" s="150"/>
      <c r="B88" s="182"/>
      <c r="C88" s="217"/>
      <c r="D88" s="150"/>
      <c r="E88" s="150"/>
      <c r="F88" s="150"/>
      <c r="G88" s="150"/>
      <c r="H88" s="150"/>
      <c r="I88" s="150"/>
      <c r="J88" s="150"/>
      <c r="K88" s="150"/>
      <c r="L88" s="150"/>
      <c r="M88" s="150"/>
      <c r="N88" s="150"/>
      <c r="O88" s="150"/>
      <c r="P88" s="150"/>
      <c r="Q88" s="150"/>
      <c r="R88" s="150"/>
      <c r="S88" s="150"/>
      <c r="T88" s="150"/>
      <c r="U88" s="150"/>
      <c r="V88" s="150"/>
      <c r="W88" s="150"/>
      <c r="X88" s="150"/>
    </row>
    <row r="89">
      <c r="A89" s="150"/>
      <c r="B89" s="182"/>
      <c r="C89" s="217"/>
      <c r="D89" s="150"/>
      <c r="E89" s="150"/>
      <c r="F89" s="150"/>
      <c r="G89" s="150"/>
      <c r="H89" s="150"/>
      <c r="I89" s="150"/>
      <c r="J89" s="150"/>
      <c r="K89" s="150"/>
      <c r="L89" s="150"/>
      <c r="M89" s="150"/>
      <c r="N89" s="150"/>
      <c r="O89" s="150"/>
      <c r="P89" s="150"/>
      <c r="Q89" s="150"/>
      <c r="R89" s="150"/>
      <c r="S89" s="150"/>
      <c r="T89" s="150"/>
      <c r="U89" s="150"/>
      <c r="V89" s="150"/>
      <c r="W89" s="150"/>
      <c r="X89" s="150"/>
    </row>
    <row r="90">
      <c r="A90" s="150"/>
      <c r="B90" s="182"/>
      <c r="C90" s="217"/>
      <c r="D90" s="150"/>
      <c r="E90" s="150"/>
      <c r="F90" s="150"/>
      <c r="G90" s="150"/>
      <c r="H90" s="150"/>
      <c r="I90" s="150"/>
      <c r="J90" s="150"/>
      <c r="K90" s="150"/>
      <c r="L90" s="150"/>
      <c r="M90" s="150"/>
      <c r="N90" s="150"/>
      <c r="O90" s="150"/>
      <c r="P90" s="150"/>
      <c r="Q90" s="150"/>
      <c r="R90" s="150"/>
      <c r="S90" s="150"/>
      <c r="T90" s="150"/>
      <c r="U90" s="150"/>
      <c r="V90" s="150"/>
      <c r="W90" s="150"/>
      <c r="X90" s="150"/>
    </row>
    <row r="91">
      <c r="A91" s="150"/>
      <c r="B91" s="182"/>
      <c r="C91" s="217"/>
      <c r="D91" s="150"/>
      <c r="E91" s="150"/>
      <c r="F91" s="150"/>
      <c r="G91" s="150"/>
      <c r="H91" s="150"/>
      <c r="I91" s="150"/>
      <c r="J91" s="150"/>
      <c r="K91" s="150"/>
      <c r="L91" s="150"/>
      <c r="M91" s="150"/>
      <c r="N91" s="150"/>
      <c r="O91" s="150"/>
      <c r="P91" s="150"/>
      <c r="Q91" s="150"/>
      <c r="R91" s="150"/>
      <c r="S91" s="150"/>
      <c r="T91" s="150"/>
      <c r="U91" s="150"/>
      <c r="V91" s="150"/>
      <c r="W91" s="150"/>
      <c r="X91" s="150"/>
    </row>
    <row r="92">
      <c r="A92" s="150"/>
      <c r="B92" s="182"/>
      <c r="C92" s="217"/>
      <c r="D92" s="150"/>
      <c r="E92" s="150"/>
      <c r="F92" s="150"/>
      <c r="G92" s="150"/>
      <c r="H92" s="150"/>
      <c r="I92" s="150"/>
      <c r="J92" s="150"/>
      <c r="K92" s="150"/>
      <c r="L92" s="150"/>
      <c r="M92" s="150"/>
      <c r="N92" s="150"/>
      <c r="O92" s="150"/>
      <c r="P92" s="150"/>
      <c r="Q92" s="150"/>
      <c r="R92" s="150"/>
      <c r="S92" s="150"/>
      <c r="T92" s="150"/>
      <c r="U92" s="150"/>
      <c r="V92" s="150"/>
      <c r="W92" s="150"/>
      <c r="X92" s="150"/>
    </row>
    <row r="93">
      <c r="A93" s="150"/>
      <c r="B93" s="182"/>
      <c r="C93" s="217"/>
      <c r="D93" s="150"/>
      <c r="E93" s="150"/>
      <c r="F93" s="150"/>
      <c r="G93" s="150"/>
      <c r="H93" s="150"/>
      <c r="I93" s="150"/>
      <c r="J93" s="150"/>
      <c r="K93" s="150"/>
      <c r="L93" s="150"/>
      <c r="M93" s="150"/>
      <c r="N93" s="150"/>
      <c r="O93" s="150"/>
      <c r="P93" s="150"/>
      <c r="Q93" s="150"/>
      <c r="R93" s="150"/>
      <c r="S93" s="150"/>
      <c r="T93" s="150"/>
      <c r="U93" s="150"/>
      <c r="V93" s="150"/>
      <c r="W93" s="150"/>
      <c r="X93" s="150"/>
    </row>
    <row r="94">
      <c r="A94" s="150"/>
      <c r="B94" s="182"/>
      <c r="C94" s="217"/>
      <c r="D94" s="150"/>
      <c r="E94" s="150"/>
      <c r="F94" s="150"/>
      <c r="G94" s="150"/>
      <c r="H94" s="150"/>
      <c r="I94" s="150"/>
      <c r="J94" s="150"/>
      <c r="K94" s="150"/>
      <c r="L94" s="150"/>
      <c r="M94" s="150"/>
      <c r="N94" s="150"/>
      <c r="O94" s="150"/>
      <c r="P94" s="150"/>
      <c r="Q94" s="150"/>
      <c r="R94" s="150"/>
      <c r="S94" s="150"/>
      <c r="T94" s="150"/>
      <c r="U94" s="150"/>
      <c r="V94" s="150"/>
      <c r="W94" s="150"/>
      <c r="X94" s="150"/>
    </row>
    <row r="95">
      <c r="A95" s="150"/>
      <c r="B95" s="182"/>
      <c r="C95" s="217"/>
      <c r="D95" s="150"/>
      <c r="E95" s="150"/>
      <c r="F95" s="150"/>
      <c r="G95" s="150"/>
      <c r="H95" s="150"/>
      <c r="I95" s="150"/>
      <c r="J95" s="150"/>
      <c r="K95" s="150"/>
      <c r="L95" s="150"/>
      <c r="M95" s="150"/>
      <c r="N95" s="150"/>
      <c r="O95" s="150"/>
      <c r="P95" s="150"/>
      <c r="Q95" s="150"/>
      <c r="R95" s="150"/>
      <c r="S95" s="150"/>
      <c r="T95" s="150"/>
      <c r="U95" s="150"/>
      <c r="V95" s="150"/>
      <c r="W95" s="150"/>
      <c r="X95" s="150"/>
    </row>
    <row r="96">
      <c r="A96" s="150"/>
      <c r="B96" s="182"/>
      <c r="C96" s="217"/>
      <c r="D96" s="150"/>
      <c r="E96" s="150"/>
      <c r="F96" s="150"/>
      <c r="G96" s="150"/>
      <c r="H96" s="150"/>
      <c r="I96" s="150"/>
      <c r="J96" s="150"/>
      <c r="K96" s="150"/>
      <c r="L96" s="150"/>
      <c r="M96" s="150"/>
      <c r="N96" s="150"/>
      <c r="O96" s="150"/>
      <c r="P96" s="150"/>
      <c r="Q96" s="150"/>
      <c r="R96" s="150"/>
      <c r="S96" s="150"/>
      <c r="T96" s="150"/>
      <c r="U96" s="150"/>
      <c r="V96" s="150"/>
      <c r="W96" s="150"/>
      <c r="X96" s="150"/>
    </row>
    <row r="97">
      <c r="A97" s="150"/>
      <c r="B97" s="182"/>
      <c r="C97" s="217"/>
      <c r="D97" s="150"/>
      <c r="E97" s="150"/>
      <c r="F97" s="150"/>
      <c r="G97" s="150"/>
      <c r="H97" s="150"/>
      <c r="I97" s="150"/>
      <c r="J97" s="150"/>
      <c r="K97" s="150"/>
      <c r="L97" s="150"/>
      <c r="M97" s="150"/>
      <c r="N97" s="150"/>
      <c r="O97" s="150"/>
      <c r="P97" s="150"/>
      <c r="Q97" s="150"/>
      <c r="R97" s="150"/>
      <c r="S97" s="150"/>
      <c r="T97" s="150"/>
      <c r="U97" s="150"/>
      <c r="V97" s="150"/>
      <c r="W97" s="150"/>
      <c r="X97" s="150"/>
    </row>
    <row r="98">
      <c r="A98" s="150"/>
      <c r="B98" s="182"/>
      <c r="C98" s="217"/>
      <c r="D98" s="150"/>
      <c r="E98" s="150"/>
      <c r="F98" s="150"/>
      <c r="G98" s="150"/>
      <c r="H98" s="150"/>
      <c r="I98" s="150"/>
      <c r="J98" s="150"/>
      <c r="K98" s="150"/>
      <c r="L98" s="150"/>
      <c r="M98" s="150"/>
      <c r="N98" s="150"/>
      <c r="O98" s="150"/>
      <c r="P98" s="150"/>
      <c r="Q98" s="150"/>
      <c r="R98" s="150"/>
      <c r="S98" s="150"/>
      <c r="T98" s="150"/>
      <c r="U98" s="150"/>
      <c r="V98" s="150"/>
      <c r="W98" s="150"/>
      <c r="X98" s="150"/>
    </row>
    <row r="99">
      <c r="A99" s="150"/>
      <c r="B99" s="182"/>
      <c r="C99" s="217"/>
      <c r="D99" s="150"/>
      <c r="E99" s="150"/>
      <c r="F99" s="150"/>
      <c r="G99" s="150"/>
      <c r="H99" s="150"/>
      <c r="I99" s="150"/>
      <c r="J99" s="150"/>
      <c r="K99" s="150"/>
      <c r="L99" s="150"/>
      <c r="M99" s="150"/>
      <c r="N99" s="150"/>
      <c r="O99" s="150"/>
      <c r="P99" s="150"/>
      <c r="Q99" s="150"/>
      <c r="R99" s="150"/>
      <c r="S99" s="150"/>
      <c r="T99" s="150"/>
      <c r="U99" s="150"/>
      <c r="V99" s="150"/>
      <c r="W99" s="150"/>
      <c r="X99" s="150"/>
    </row>
    <row r="100">
      <c r="A100" s="150"/>
      <c r="B100" s="182"/>
      <c r="C100" s="217"/>
      <c r="D100" s="150"/>
      <c r="E100" s="150"/>
      <c r="F100" s="150"/>
      <c r="G100" s="150"/>
      <c r="H100" s="150"/>
      <c r="I100" s="150"/>
      <c r="J100" s="150"/>
      <c r="K100" s="150"/>
      <c r="L100" s="150"/>
      <c r="M100" s="150"/>
      <c r="N100" s="150"/>
      <c r="O100" s="150"/>
      <c r="P100" s="150"/>
      <c r="Q100" s="150"/>
      <c r="R100" s="150"/>
      <c r="S100" s="150"/>
      <c r="T100" s="150"/>
      <c r="U100" s="150"/>
      <c r="V100" s="150"/>
      <c r="W100" s="150"/>
      <c r="X100" s="150"/>
    </row>
    <row r="101">
      <c r="A101" s="150"/>
      <c r="B101" s="182"/>
      <c r="C101" s="217"/>
      <c r="D101" s="150"/>
      <c r="E101" s="150"/>
      <c r="F101" s="150"/>
      <c r="G101" s="150"/>
      <c r="H101" s="150"/>
      <c r="I101" s="150"/>
      <c r="J101" s="150"/>
      <c r="K101" s="150"/>
      <c r="L101" s="150"/>
      <c r="M101" s="150"/>
      <c r="N101" s="150"/>
      <c r="O101" s="150"/>
      <c r="P101" s="150"/>
      <c r="Q101" s="150"/>
      <c r="R101" s="150"/>
      <c r="S101" s="150"/>
      <c r="T101" s="150"/>
      <c r="U101" s="150"/>
      <c r="V101" s="150"/>
      <c r="W101" s="150"/>
      <c r="X101" s="150"/>
    </row>
    <row r="102">
      <c r="A102" s="150"/>
      <c r="B102" s="182"/>
      <c r="C102" s="217"/>
      <c r="D102" s="150"/>
      <c r="E102" s="150"/>
      <c r="F102" s="150"/>
      <c r="G102" s="150"/>
      <c r="H102" s="150"/>
      <c r="I102" s="150"/>
      <c r="J102" s="150"/>
      <c r="K102" s="150"/>
      <c r="L102" s="150"/>
      <c r="M102" s="150"/>
      <c r="N102" s="150"/>
      <c r="O102" s="150"/>
      <c r="P102" s="150"/>
      <c r="Q102" s="150"/>
      <c r="R102" s="150"/>
      <c r="S102" s="150"/>
      <c r="T102" s="150"/>
      <c r="U102" s="150"/>
      <c r="V102" s="150"/>
      <c r="W102" s="150"/>
      <c r="X102" s="150"/>
    </row>
    <row r="103">
      <c r="A103" s="150"/>
      <c r="B103" s="182"/>
      <c r="C103" s="217"/>
      <c r="D103" s="150"/>
      <c r="E103" s="150"/>
      <c r="F103" s="150"/>
      <c r="G103" s="150"/>
      <c r="H103" s="150"/>
      <c r="I103" s="150"/>
      <c r="J103" s="150"/>
      <c r="K103" s="150"/>
      <c r="L103" s="150"/>
      <c r="M103" s="150"/>
      <c r="N103" s="150"/>
      <c r="O103" s="150"/>
      <c r="P103" s="150"/>
      <c r="Q103" s="150"/>
      <c r="R103" s="150"/>
      <c r="S103" s="150"/>
      <c r="T103" s="150"/>
      <c r="U103" s="150"/>
      <c r="V103" s="150"/>
      <c r="W103" s="150"/>
      <c r="X103" s="150"/>
    </row>
    <row r="104">
      <c r="A104" s="150"/>
      <c r="B104" s="182"/>
      <c r="C104" s="217"/>
      <c r="D104" s="150"/>
      <c r="E104" s="150"/>
      <c r="F104" s="150"/>
      <c r="G104" s="150"/>
      <c r="H104" s="150"/>
      <c r="I104" s="150"/>
      <c r="J104" s="150"/>
      <c r="K104" s="150"/>
      <c r="L104" s="150"/>
      <c r="M104" s="150"/>
      <c r="N104" s="150"/>
      <c r="O104" s="150"/>
      <c r="P104" s="150"/>
      <c r="Q104" s="150"/>
      <c r="R104" s="150"/>
      <c r="S104" s="150"/>
      <c r="T104" s="150"/>
      <c r="U104" s="150"/>
      <c r="V104" s="150"/>
      <c r="W104" s="150"/>
      <c r="X104" s="150"/>
    </row>
    <row r="105">
      <c r="A105" s="150"/>
      <c r="B105" s="182"/>
      <c r="C105" s="217"/>
      <c r="D105" s="150"/>
      <c r="E105" s="150"/>
      <c r="F105" s="150"/>
      <c r="G105" s="150"/>
      <c r="H105" s="150"/>
      <c r="I105" s="150"/>
      <c r="J105" s="150"/>
      <c r="K105" s="150"/>
      <c r="L105" s="150"/>
      <c r="M105" s="150"/>
      <c r="N105" s="150"/>
      <c r="O105" s="150"/>
      <c r="P105" s="150"/>
      <c r="Q105" s="150"/>
      <c r="R105" s="150"/>
      <c r="S105" s="150"/>
      <c r="T105" s="150"/>
      <c r="U105" s="150"/>
      <c r="V105" s="150"/>
      <c r="W105" s="150"/>
      <c r="X105" s="150"/>
    </row>
    <row r="106">
      <c r="A106" s="150"/>
      <c r="B106" s="182"/>
      <c r="C106" s="217"/>
      <c r="D106" s="150"/>
      <c r="E106" s="150"/>
      <c r="F106" s="150"/>
      <c r="G106" s="150"/>
      <c r="H106" s="150"/>
      <c r="I106" s="150"/>
      <c r="J106" s="150"/>
      <c r="K106" s="150"/>
      <c r="L106" s="150"/>
      <c r="M106" s="150"/>
      <c r="N106" s="150"/>
      <c r="O106" s="150"/>
      <c r="P106" s="150"/>
      <c r="Q106" s="150"/>
      <c r="R106" s="150"/>
      <c r="S106" s="150"/>
      <c r="T106" s="150"/>
      <c r="U106" s="150"/>
      <c r="V106" s="150"/>
      <c r="W106" s="150"/>
      <c r="X106" s="150"/>
    </row>
    <row r="107">
      <c r="A107" s="150"/>
      <c r="B107" s="182"/>
      <c r="C107" s="217"/>
      <c r="D107" s="150"/>
      <c r="E107" s="150"/>
      <c r="F107" s="150"/>
      <c r="G107" s="150"/>
      <c r="H107" s="150"/>
      <c r="I107" s="150"/>
      <c r="J107" s="150"/>
      <c r="K107" s="150"/>
      <c r="L107" s="150"/>
      <c r="M107" s="150"/>
      <c r="N107" s="150"/>
      <c r="O107" s="150"/>
      <c r="P107" s="150"/>
      <c r="Q107" s="150"/>
      <c r="R107" s="150"/>
      <c r="S107" s="150"/>
      <c r="T107" s="150"/>
      <c r="U107" s="150"/>
      <c r="V107" s="150"/>
      <c r="W107" s="150"/>
      <c r="X107" s="150"/>
    </row>
    <row r="108">
      <c r="A108" s="150"/>
      <c r="B108" s="182"/>
      <c r="C108" s="217"/>
      <c r="D108" s="150"/>
      <c r="E108" s="150"/>
      <c r="F108" s="150"/>
      <c r="G108" s="150"/>
      <c r="H108" s="150"/>
      <c r="I108" s="150"/>
      <c r="J108" s="150"/>
      <c r="K108" s="150"/>
      <c r="L108" s="150"/>
      <c r="M108" s="150"/>
      <c r="N108" s="150"/>
      <c r="O108" s="150"/>
      <c r="P108" s="150"/>
      <c r="Q108" s="150"/>
      <c r="R108" s="150"/>
      <c r="S108" s="150"/>
      <c r="T108" s="150"/>
      <c r="U108" s="150"/>
      <c r="V108" s="150"/>
      <c r="W108" s="150"/>
      <c r="X108" s="150"/>
    </row>
    <row r="109">
      <c r="A109" s="150"/>
      <c r="B109" s="182"/>
      <c r="C109" s="217"/>
      <c r="D109" s="150"/>
      <c r="E109" s="150"/>
      <c r="F109" s="150"/>
      <c r="G109" s="150"/>
      <c r="H109" s="150"/>
      <c r="I109" s="150"/>
      <c r="J109" s="150"/>
      <c r="K109" s="150"/>
      <c r="L109" s="150"/>
      <c r="M109" s="150"/>
      <c r="N109" s="150"/>
      <c r="O109" s="150"/>
      <c r="P109" s="150"/>
      <c r="Q109" s="150"/>
      <c r="R109" s="150"/>
      <c r="S109" s="150"/>
      <c r="T109" s="150"/>
      <c r="U109" s="150"/>
      <c r="V109" s="150"/>
      <c r="W109" s="150"/>
      <c r="X109" s="150"/>
    </row>
    <row r="110">
      <c r="A110" s="150"/>
      <c r="B110" s="182"/>
      <c r="C110" s="217"/>
      <c r="D110" s="150"/>
      <c r="E110" s="150"/>
      <c r="F110" s="150"/>
      <c r="G110" s="150"/>
      <c r="H110" s="150"/>
      <c r="I110" s="150"/>
      <c r="J110" s="150"/>
      <c r="K110" s="150"/>
      <c r="L110" s="150"/>
      <c r="M110" s="150"/>
      <c r="N110" s="150"/>
      <c r="O110" s="150"/>
      <c r="P110" s="150"/>
      <c r="Q110" s="150"/>
      <c r="R110" s="150"/>
      <c r="S110" s="150"/>
      <c r="T110" s="150"/>
      <c r="U110" s="150"/>
      <c r="V110" s="150"/>
      <c r="W110" s="150"/>
      <c r="X110" s="150"/>
    </row>
    <row r="111">
      <c r="A111" s="150"/>
      <c r="B111" s="182"/>
      <c r="C111" s="217"/>
      <c r="D111" s="150"/>
      <c r="E111" s="150"/>
      <c r="F111" s="150"/>
      <c r="G111" s="150"/>
      <c r="H111" s="150"/>
      <c r="I111" s="150"/>
      <c r="J111" s="150"/>
      <c r="K111" s="150"/>
      <c r="L111" s="150"/>
      <c r="M111" s="150"/>
      <c r="N111" s="150"/>
      <c r="O111" s="150"/>
      <c r="P111" s="150"/>
      <c r="Q111" s="150"/>
      <c r="R111" s="150"/>
      <c r="S111" s="150"/>
      <c r="T111" s="150"/>
      <c r="U111" s="150"/>
      <c r="V111" s="150"/>
      <c r="W111" s="150"/>
      <c r="X111" s="150"/>
    </row>
    <row r="112">
      <c r="A112" s="150"/>
      <c r="B112" s="182"/>
      <c r="C112" s="217"/>
      <c r="D112" s="150"/>
      <c r="E112" s="150"/>
      <c r="F112" s="150"/>
      <c r="G112" s="150"/>
      <c r="H112" s="150"/>
      <c r="I112" s="150"/>
      <c r="J112" s="150"/>
      <c r="K112" s="150"/>
      <c r="L112" s="150"/>
      <c r="M112" s="150"/>
      <c r="N112" s="150"/>
      <c r="O112" s="150"/>
      <c r="P112" s="150"/>
      <c r="Q112" s="150"/>
      <c r="R112" s="150"/>
      <c r="S112" s="150"/>
      <c r="T112" s="150"/>
      <c r="U112" s="150"/>
      <c r="V112" s="150"/>
      <c r="W112" s="150"/>
      <c r="X112" s="150"/>
    </row>
    <row r="113">
      <c r="A113" s="150"/>
      <c r="B113" s="182"/>
      <c r="C113" s="217"/>
      <c r="D113" s="150"/>
      <c r="E113" s="150"/>
      <c r="F113" s="150"/>
      <c r="G113" s="150"/>
      <c r="H113" s="150"/>
      <c r="I113" s="150"/>
      <c r="J113" s="150"/>
      <c r="K113" s="150"/>
      <c r="L113" s="150"/>
      <c r="M113" s="150"/>
      <c r="N113" s="150"/>
      <c r="O113" s="150"/>
      <c r="P113" s="150"/>
      <c r="Q113" s="150"/>
      <c r="R113" s="150"/>
      <c r="S113" s="150"/>
      <c r="T113" s="150"/>
      <c r="U113" s="150"/>
      <c r="V113" s="150"/>
      <c r="W113" s="150"/>
      <c r="X113" s="150"/>
    </row>
    <row r="114">
      <c r="A114" s="150"/>
      <c r="B114" s="182"/>
      <c r="C114" s="217"/>
      <c r="D114" s="150"/>
      <c r="E114" s="150"/>
      <c r="F114" s="150"/>
      <c r="G114" s="150"/>
      <c r="H114" s="150"/>
      <c r="I114" s="150"/>
      <c r="J114" s="150"/>
      <c r="K114" s="150"/>
      <c r="L114" s="150"/>
      <c r="M114" s="150"/>
      <c r="N114" s="150"/>
      <c r="O114" s="150"/>
      <c r="P114" s="150"/>
      <c r="Q114" s="150"/>
      <c r="R114" s="150"/>
      <c r="S114" s="150"/>
      <c r="T114" s="150"/>
      <c r="U114" s="150"/>
      <c r="V114" s="150"/>
      <c r="W114" s="150"/>
      <c r="X114" s="150"/>
    </row>
    <row r="115">
      <c r="A115" s="150"/>
      <c r="B115" s="182"/>
      <c r="C115" s="217"/>
      <c r="D115" s="150"/>
      <c r="E115" s="150"/>
      <c r="F115" s="150"/>
      <c r="G115" s="150"/>
      <c r="H115" s="150"/>
      <c r="I115" s="150"/>
      <c r="J115" s="150"/>
      <c r="K115" s="150"/>
      <c r="L115" s="150"/>
      <c r="M115" s="150"/>
      <c r="N115" s="150"/>
      <c r="O115" s="150"/>
      <c r="P115" s="150"/>
      <c r="Q115" s="150"/>
      <c r="R115" s="150"/>
      <c r="S115" s="150"/>
      <c r="T115" s="150"/>
      <c r="U115" s="150"/>
      <c r="V115" s="150"/>
      <c r="W115" s="150"/>
      <c r="X115" s="150"/>
    </row>
    <row r="116">
      <c r="A116" s="150"/>
      <c r="B116" s="182"/>
      <c r="C116" s="217"/>
      <c r="D116" s="150"/>
      <c r="E116" s="150"/>
      <c r="F116" s="150"/>
      <c r="G116" s="150"/>
      <c r="H116" s="150"/>
      <c r="I116" s="150"/>
      <c r="J116" s="150"/>
      <c r="K116" s="150"/>
      <c r="L116" s="150"/>
      <c r="M116" s="150"/>
      <c r="N116" s="150"/>
      <c r="O116" s="150"/>
      <c r="P116" s="150"/>
      <c r="Q116" s="150"/>
      <c r="R116" s="150"/>
      <c r="S116" s="150"/>
      <c r="T116" s="150"/>
      <c r="U116" s="150"/>
      <c r="V116" s="150"/>
      <c r="W116" s="150"/>
      <c r="X116" s="150"/>
    </row>
    <row r="117">
      <c r="A117" s="150"/>
      <c r="B117" s="182"/>
      <c r="C117" s="217"/>
      <c r="D117" s="150"/>
      <c r="E117" s="150"/>
      <c r="F117" s="150"/>
      <c r="G117" s="150"/>
      <c r="H117" s="150"/>
      <c r="I117" s="150"/>
      <c r="J117" s="150"/>
      <c r="K117" s="150"/>
      <c r="L117" s="150"/>
      <c r="M117" s="150"/>
      <c r="N117" s="150"/>
      <c r="O117" s="150"/>
      <c r="P117" s="150"/>
      <c r="Q117" s="150"/>
      <c r="R117" s="150"/>
      <c r="S117" s="150"/>
      <c r="T117" s="150"/>
      <c r="U117" s="150"/>
      <c r="V117" s="150"/>
      <c r="W117" s="150"/>
      <c r="X117" s="150"/>
    </row>
    <row r="118">
      <c r="A118" s="150"/>
      <c r="B118" s="182"/>
      <c r="C118" s="217"/>
      <c r="D118" s="150"/>
      <c r="E118" s="150"/>
      <c r="F118" s="150"/>
      <c r="G118" s="150"/>
      <c r="H118" s="150"/>
      <c r="I118" s="150"/>
      <c r="J118" s="150"/>
      <c r="K118" s="150"/>
      <c r="L118" s="150"/>
      <c r="M118" s="150"/>
      <c r="N118" s="150"/>
      <c r="O118" s="150"/>
      <c r="P118" s="150"/>
      <c r="Q118" s="150"/>
      <c r="R118" s="150"/>
      <c r="S118" s="150"/>
      <c r="T118" s="150"/>
      <c r="U118" s="150"/>
      <c r="V118" s="150"/>
      <c r="W118" s="150"/>
      <c r="X118" s="150"/>
    </row>
    <row r="119">
      <c r="A119" s="150"/>
      <c r="B119" s="182"/>
      <c r="C119" s="217"/>
      <c r="D119" s="150"/>
      <c r="E119" s="150"/>
      <c r="F119" s="150"/>
      <c r="G119" s="150"/>
      <c r="H119" s="150"/>
      <c r="I119" s="150"/>
      <c r="J119" s="150"/>
      <c r="K119" s="150"/>
      <c r="L119" s="150"/>
      <c r="M119" s="150"/>
      <c r="N119" s="150"/>
      <c r="O119" s="150"/>
      <c r="P119" s="150"/>
      <c r="Q119" s="150"/>
      <c r="R119" s="150"/>
      <c r="S119" s="150"/>
      <c r="T119" s="150"/>
      <c r="U119" s="150"/>
      <c r="V119" s="150"/>
      <c r="W119" s="150"/>
      <c r="X119" s="150"/>
    </row>
    <row r="120">
      <c r="A120" s="150"/>
      <c r="B120" s="182"/>
      <c r="C120" s="217"/>
      <c r="D120" s="150"/>
      <c r="E120" s="150"/>
      <c r="F120" s="150"/>
      <c r="G120" s="150"/>
      <c r="H120" s="150"/>
      <c r="I120" s="150"/>
      <c r="J120" s="150"/>
      <c r="K120" s="150"/>
      <c r="L120" s="150"/>
      <c r="M120" s="150"/>
      <c r="N120" s="150"/>
      <c r="O120" s="150"/>
      <c r="P120" s="150"/>
      <c r="Q120" s="150"/>
      <c r="R120" s="150"/>
      <c r="S120" s="150"/>
      <c r="T120" s="150"/>
      <c r="U120" s="150"/>
      <c r="V120" s="150"/>
      <c r="W120" s="150"/>
      <c r="X120" s="150"/>
    </row>
    <row r="121">
      <c r="A121" s="150"/>
      <c r="B121" s="182"/>
      <c r="C121" s="217"/>
      <c r="D121" s="150"/>
      <c r="E121" s="150"/>
      <c r="F121" s="150"/>
      <c r="G121" s="150"/>
      <c r="H121" s="150"/>
      <c r="I121" s="150"/>
      <c r="J121" s="150"/>
      <c r="K121" s="150"/>
      <c r="L121" s="150"/>
      <c r="M121" s="150"/>
      <c r="N121" s="150"/>
      <c r="O121" s="150"/>
      <c r="P121" s="150"/>
      <c r="Q121" s="150"/>
      <c r="R121" s="150"/>
      <c r="S121" s="150"/>
      <c r="T121" s="150"/>
      <c r="U121" s="150"/>
      <c r="V121" s="150"/>
      <c r="W121" s="150"/>
      <c r="X121" s="150"/>
    </row>
    <row r="122">
      <c r="A122" s="150"/>
      <c r="B122" s="182"/>
      <c r="C122" s="217"/>
      <c r="D122" s="150"/>
      <c r="E122" s="150"/>
      <c r="F122" s="150"/>
      <c r="G122" s="150"/>
      <c r="H122" s="150"/>
      <c r="I122" s="150"/>
      <c r="J122" s="150"/>
      <c r="K122" s="150"/>
      <c r="L122" s="150"/>
      <c r="M122" s="150"/>
      <c r="N122" s="150"/>
      <c r="O122" s="150"/>
      <c r="P122" s="150"/>
      <c r="Q122" s="150"/>
      <c r="R122" s="150"/>
      <c r="S122" s="150"/>
      <c r="T122" s="150"/>
      <c r="U122" s="150"/>
      <c r="V122" s="150"/>
      <c r="W122" s="150"/>
      <c r="X122" s="150"/>
    </row>
    <row r="123">
      <c r="A123" s="150"/>
      <c r="B123" s="182"/>
      <c r="C123" s="217"/>
      <c r="D123" s="150"/>
      <c r="E123" s="150"/>
      <c r="F123" s="150"/>
      <c r="G123" s="150"/>
      <c r="H123" s="150"/>
      <c r="I123" s="150"/>
      <c r="J123" s="150"/>
      <c r="K123" s="150"/>
      <c r="L123" s="150"/>
      <c r="M123" s="150"/>
      <c r="N123" s="150"/>
      <c r="O123" s="150"/>
      <c r="P123" s="150"/>
      <c r="Q123" s="150"/>
      <c r="R123" s="150"/>
      <c r="S123" s="150"/>
      <c r="T123" s="150"/>
      <c r="U123" s="150"/>
      <c r="V123" s="150"/>
      <c r="W123" s="150"/>
      <c r="X123" s="150"/>
    </row>
    <row r="124">
      <c r="A124" s="150"/>
      <c r="B124" s="182"/>
      <c r="C124" s="217"/>
      <c r="D124" s="150"/>
      <c r="E124" s="150"/>
      <c r="F124" s="150"/>
      <c r="G124" s="150"/>
      <c r="H124" s="150"/>
      <c r="I124" s="150"/>
      <c r="J124" s="150"/>
      <c r="K124" s="150"/>
      <c r="L124" s="150"/>
      <c r="M124" s="150"/>
      <c r="N124" s="150"/>
      <c r="O124" s="150"/>
      <c r="P124" s="150"/>
      <c r="Q124" s="150"/>
      <c r="R124" s="150"/>
      <c r="S124" s="150"/>
      <c r="T124" s="150"/>
      <c r="U124" s="150"/>
      <c r="V124" s="150"/>
      <c r="W124" s="150"/>
      <c r="X124" s="150"/>
    </row>
    <row r="125">
      <c r="A125" s="150"/>
      <c r="B125" s="182"/>
      <c r="C125" s="217"/>
      <c r="D125" s="150"/>
      <c r="E125" s="150"/>
      <c r="F125" s="150"/>
      <c r="G125" s="150"/>
      <c r="H125" s="150"/>
      <c r="I125" s="150"/>
      <c r="J125" s="150"/>
      <c r="K125" s="150"/>
      <c r="L125" s="150"/>
      <c r="M125" s="150"/>
      <c r="N125" s="150"/>
      <c r="O125" s="150"/>
      <c r="P125" s="150"/>
      <c r="Q125" s="150"/>
      <c r="R125" s="150"/>
      <c r="S125" s="150"/>
      <c r="T125" s="150"/>
      <c r="U125" s="150"/>
      <c r="V125" s="150"/>
      <c r="W125" s="150"/>
      <c r="X125" s="150"/>
    </row>
    <row r="126">
      <c r="A126" s="150"/>
      <c r="B126" s="182"/>
      <c r="C126" s="217"/>
      <c r="D126" s="150"/>
      <c r="E126" s="150"/>
      <c r="F126" s="150"/>
      <c r="G126" s="150"/>
      <c r="H126" s="150"/>
      <c r="I126" s="150"/>
      <c r="J126" s="150"/>
      <c r="K126" s="150"/>
      <c r="L126" s="150"/>
      <c r="M126" s="150"/>
      <c r="N126" s="150"/>
      <c r="O126" s="150"/>
      <c r="P126" s="150"/>
      <c r="Q126" s="150"/>
      <c r="R126" s="150"/>
      <c r="S126" s="150"/>
      <c r="T126" s="150"/>
      <c r="U126" s="150"/>
      <c r="V126" s="150"/>
      <c r="W126" s="150"/>
      <c r="X126" s="150"/>
    </row>
    <row r="127">
      <c r="A127" s="150"/>
      <c r="B127" s="182"/>
      <c r="C127" s="217"/>
      <c r="D127" s="150"/>
      <c r="E127" s="150"/>
      <c r="F127" s="150"/>
      <c r="G127" s="150"/>
      <c r="H127" s="150"/>
      <c r="I127" s="150"/>
      <c r="J127" s="150"/>
      <c r="K127" s="150"/>
      <c r="L127" s="150"/>
      <c r="M127" s="150"/>
      <c r="N127" s="150"/>
      <c r="O127" s="150"/>
      <c r="P127" s="150"/>
      <c r="Q127" s="150"/>
      <c r="R127" s="150"/>
      <c r="S127" s="150"/>
      <c r="T127" s="150"/>
      <c r="U127" s="150"/>
      <c r="V127" s="150"/>
      <c r="W127" s="150"/>
      <c r="X127" s="150"/>
    </row>
    <row r="128">
      <c r="A128" s="150"/>
      <c r="B128" s="182"/>
      <c r="C128" s="217"/>
      <c r="D128" s="150"/>
      <c r="E128" s="150"/>
      <c r="F128" s="150"/>
      <c r="G128" s="150"/>
      <c r="H128" s="150"/>
      <c r="I128" s="150"/>
      <c r="J128" s="150"/>
      <c r="K128" s="150"/>
      <c r="L128" s="150"/>
      <c r="M128" s="150"/>
      <c r="N128" s="150"/>
      <c r="O128" s="150"/>
      <c r="P128" s="150"/>
      <c r="Q128" s="150"/>
      <c r="R128" s="150"/>
      <c r="S128" s="150"/>
      <c r="T128" s="150"/>
      <c r="U128" s="150"/>
      <c r="V128" s="150"/>
      <c r="W128" s="150"/>
      <c r="X128" s="150"/>
    </row>
    <row r="129">
      <c r="A129" s="150"/>
      <c r="B129" s="182"/>
      <c r="C129" s="217"/>
      <c r="D129" s="150"/>
      <c r="E129" s="150"/>
      <c r="F129" s="150"/>
      <c r="G129" s="150"/>
      <c r="H129" s="150"/>
      <c r="I129" s="150"/>
      <c r="J129" s="150"/>
      <c r="K129" s="150"/>
      <c r="L129" s="150"/>
      <c r="M129" s="150"/>
      <c r="N129" s="150"/>
      <c r="O129" s="150"/>
      <c r="P129" s="150"/>
      <c r="Q129" s="150"/>
      <c r="R129" s="150"/>
      <c r="S129" s="150"/>
      <c r="T129" s="150"/>
      <c r="U129" s="150"/>
      <c r="V129" s="150"/>
      <c r="W129" s="150"/>
      <c r="X129" s="150"/>
    </row>
    <row r="130">
      <c r="A130" s="150"/>
      <c r="B130" s="182"/>
      <c r="C130" s="217"/>
      <c r="D130" s="150"/>
      <c r="E130" s="150"/>
      <c r="F130" s="150"/>
      <c r="G130" s="150"/>
      <c r="H130" s="150"/>
      <c r="I130" s="150"/>
      <c r="J130" s="150"/>
      <c r="K130" s="150"/>
      <c r="L130" s="150"/>
      <c r="M130" s="150"/>
      <c r="N130" s="150"/>
      <c r="O130" s="150"/>
      <c r="P130" s="150"/>
      <c r="Q130" s="150"/>
      <c r="R130" s="150"/>
      <c r="S130" s="150"/>
      <c r="T130" s="150"/>
      <c r="U130" s="150"/>
      <c r="V130" s="150"/>
      <c r="W130" s="150"/>
      <c r="X130" s="150"/>
    </row>
    <row r="131">
      <c r="A131" s="150"/>
      <c r="B131" s="182"/>
      <c r="C131" s="217"/>
      <c r="D131" s="150"/>
      <c r="E131" s="150"/>
      <c r="F131" s="150"/>
      <c r="G131" s="150"/>
      <c r="H131" s="150"/>
      <c r="I131" s="150"/>
      <c r="J131" s="150"/>
      <c r="K131" s="150"/>
      <c r="L131" s="150"/>
      <c r="M131" s="150"/>
      <c r="N131" s="150"/>
      <c r="O131" s="150"/>
      <c r="P131" s="150"/>
      <c r="Q131" s="150"/>
      <c r="R131" s="150"/>
      <c r="S131" s="150"/>
      <c r="T131" s="150"/>
      <c r="U131" s="150"/>
      <c r="V131" s="150"/>
      <c r="W131" s="150"/>
      <c r="X131" s="150"/>
    </row>
    <row r="132">
      <c r="A132" s="150"/>
      <c r="B132" s="182"/>
      <c r="C132" s="217"/>
      <c r="D132" s="150"/>
      <c r="E132" s="150"/>
      <c r="F132" s="150"/>
      <c r="G132" s="150"/>
      <c r="H132" s="150"/>
      <c r="I132" s="150"/>
      <c r="J132" s="150"/>
      <c r="K132" s="150"/>
      <c r="L132" s="150"/>
      <c r="M132" s="150"/>
      <c r="N132" s="150"/>
      <c r="O132" s="150"/>
      <c r="P132" s="150"/>
      <c r="Q132" s="150"/>
      <c r="R132" s="150"/>
      <c r="S132" s="150"/>
      <c r="T132" s="150"/>
      <c r="U132" s="150"/>
      <c r="V132" s="150"/>
      <c r="W132" s="150"/>
      <c r="X132" s="150"/>
    </row>
    <row r="133">
      <c r="A133" s="150"/>
      <c r="B133" s="182"/>
      <c r="C133" s="217"/>
      <c r="D133" s="150"/>
      <c r="E133" s="150"/>
      <c r="F133" s="150"/>
      <c r="G133" s="150"/>
      <c r="H133" s="150"/>
      <c r="I133" s="150"/>
      <c r="J133" s="150"/>
      <c r="K133" s="150"/>
      <c r="L133" s="150"/>
      <c r="M133" s="150"/>
      <c r="N133" s="150"/>
      <c r="O133" s="150"/>
      <c r="P133" s="150"/>
      <c r="Q133" s="150"/>
      <c r="R133" s="150"/>
      <c r="S133" s="150"/>
      <c r="T133" s="150"/>
      <c r="U133" s="150"/>
      <c r="V133" s="150"/>
      <c r="W133" s="150"/>
      <c r="X133" s="150"/>
    </row>
    <row r="134">
      <c r="A134" s="150"/>
      <c r="B134" s="182"/>
      <c r="C134" s="217"/>
      <c r="D134" s="150"/>
      <c r="E134" s="150"/>
      <c r="F134" s="150"/>
      <c r="G134" s="150"/>
      <c r="H134" s="150"/>
      <c r="I134" s="150"/>
      <c r="J134" s="150"/>
      <c r="K134" s="150"/>
      <c r="L134" s="150"/>
      <c r="M134" s="150"/>
      <c r="N134" s="150"/>
      <c r="O134" s="150"/>
      <c r="P134" s="150"/>
      <c r="Q134" s="150"/>
      <c r="R134" s="150"/>
      <c r="S134" s="150"/>
      <c r="T134" s="150"/>
      <c r="U134" s="150"/>
      <c r="V134" s="150"/>
      <c r="W134" s="150"/>
      <c r="X134" s="150"/>
    </row>
    <row r="135">
      <c r="A135" s="150"/>
      <c r="B135" s="182"/>
      <c r="C135" s="217"/>
      <c r="D135" s="150"/>
      <c r="E135" s="150"/>
      <c r="F135" s="150"/>
      <c r="G135" s="150"/>
      <c r="H135" s="150"/>
      <c r="I135" s="150"/>
      <c r="J135" s="150"/>
      <c r="K135" s="150"/>
      <c r="L135" s="150"/>
      <c r="M135" s="150"/>
      <c r="N135" s="150"/>
      <c r="O135" s="150"/>
      <c r="P135" s="150"/>
      <c r="Q135" s="150"/>
      <c r="R135" s="150"/>
      <c r="S135" s="150"/>
      <c r="T135" s="150"/>
      <c r="U135" s="150"/>
      <c r="V135" s="150"/>
      <c r="W135" s="150"/>
      <c r="X135" s="150"/>
    </row>
    <row r="136">
      <c r="A136" s="150"/>
      <c r="B136" s="182"/>
      <c r="C136" s="217"/>
      <c r="D136" s="150"/>
      <c r="E136" s="150"/>
      <c r="F136" s="150"/>
      <c r="G136" s="150"/>
      <c r="H136" s="150"/>
      <c r="I136" s="150"/>
      <c r="J136" s="150"/>
      <c r="K136" s="150"/>
      <c r="L136" s="150"/>
      <c r="M136" s="150"/>
      <c r="N136" s="150"/>
      <c r="O136" s="150"/>
      <c r="P136" s="150"/>
      <c r="Q136" s="150"/>
      <c r="R136" s="150"/>
      <c r="S136" s="150"/>
      <c r="T136" s="150"/>
      <c r="U136" s="150"/>
      <c r="V136" s="150"/>
      <c r="W136" s="150"/>
      <c r="X136" s="150"/>
    </row>
    <row r="137">
      <c r="A137" s="150"/>
      <c r="B137" s="182"/>
      <c r="C137" s="217"/>
      <c r="D137" s="150"/>
      <c r="E137" s="150"/>
      <c r="F137" s="150"/>
      <c r="G137" s="150"/>
      <c r="H137" s="150"/>
      <c r="I137" s="150"/>
      <c r="J137" s="150"/>
      <c r="K137" s="150"/>
      <c r="L137" s="150"/>
      <c r="M137" s="150"/>
      <c r="N137" s="150"/>
      <c r="O137" s="150"/>
      <c r="P137" s="150"/>
      <c r="Q137" s="150"/>
      <c r="R137" s="150"/>
      <c r="S137" s="150"/>
      <c r="T137" s="150"/>
      <c r="U137" s="150"/>
      <c r="V137" s="150"/>
      <c r="W137" s="150"/>
      <c r="X137" s="150"/>
    </row>
    <row r="138">
      <c r="A138" s="150"/>
      <c r="B138" s="182"/>
      <c r="C138" s="217"/>
      <c r="D138" s="150"/>
      <c r="E138" s="150"/>
      <c r="F138" s="150"/>
      <c r="G138" s="150"/>
      <c r="H138" s="150"/>
      <c r="I138" s="150"/>
      <c r="J138" s="150"/>
      <c r="K138" s="150"/>
      <c r="L138" s="150"/>
      <c r="M138" s="150"/>
      <c r="N138" s="150"/>
      <c r="O138" s="150"/>
      <c r="P138" s="150"/>
      <c r="Q138" s="150"/>
      <c r="R138" s="150"/>
      <c r="S138" s="150"/>
      <c r="T138" s="150"/>
      <c r="U138" s="150"/>
      <c r="V138" s="150"/>
      <c r="W138" s="150"/>
      <c r="X138" s="150"/>
    </row>
    <row r="139">
      <c r="A139" s="150"/>
      <c r="B139" s="182"/>
      <c r="C139" s="217"/>
      <c r="D139" s="150"/>
      <c r="E139" s="150"/>
      <c r="F139" s="150"/>
      <c r="G139" s="150"/>
      <c r="H139" s="150"/>
      <c r="I139" s="150"/>
      <c r="J139" s="150"/>
      <c r="K139" s="150"/>
      <c r="L139" s="150"/>
      <c r="M139" s="150"/>
      <c r="N139" s="150"/>
      <c r="O139" s="150"/>
      <c r="P139" s="150"/>
      <c r="Q139" s="150"/>
      <c r="R139" s="150"/>
      <c r="S139" s="150"/>
      <c r="T139" s="150"/>
      <c r="U139" s="150"/>
      <c r="V139" s="150"/>
      <c r="W139" s="150"/>
      <c r="X139" s="150"/>
    </row>
    <row r="140">
      <c r="A140" s="150"/>
      <c r="B140" s="182"/>
      <c r="C140" s="217"/>
      <c r="D140" s="150"/>
      <c r="E140" s="150"/>
      <c r="F140" s="150"/>
      <c r="G140" s="150"/>
      <c r="H140" s="150"/>
      <c r="I140" s="150"/>
      <c r="J140" s="150"/>
      <c r="K140" s="150"/>
      <c r="L140" s="150"/>
      <c r="M140" s="150"/>
      <c r="N140" s="150"/>
      <c r="O140" s="150"/>
      <c r="P140" s="150"/>
      <c r="Q140" s="150"/>
      <c r="R140" s="150"/>
      <c r="S140" s="150"/>
      <c r="T140" s="150"/>
      <c r="U140" s="150"/>
      <c r="V140" s="150"/>
      <c r="W140" s="150"/>
      <c r="X140" s="150"/>
    </row>
    <row r="141">
      <c r="A141" s="150"/>
      <c r="B141" s="182"/>
      <c r="C141" s="217"/>
      <c r="D141" s="150"/>
      <c r="E141" s="150"/>
      <c r="F141" s="150"/>
      <c r="G141" s="150"/>
      <c r="H141" s="150"/>
      <c r="I141" s="150"/>
      <c r="J141" s="150"/>
      <c r="K141" s="150"/>
      <c r="L141" s="150"/>
      <c r="M141" s="150"/>
      <c r="N141" s="150"/>
      <c r="O141" s="150"/>
      <c r="P141" s="150"/>
      <c r="Q141" s="150"/>
      <c r="R141" s="150"/>
      <c r="S141" s="150"/>
      <c r="T141" s="150"/>
      <c r="U141" s="150"/>
      <c r="V141" s="150"/>
      <c r="W141" s="150"/>
      <c r="X141" s="150"/>
    </row>
    <row r="142">
      <c r="A142" s="150"/>
      <c r="B142" s="182"/>
      <c r="C142" s="217"/>
      <c r="D142" s="150"/>
      <c r="E142" s="150"/>
      <c r="F142" s="150"/>
      <c r="G142" s="150"/>
      <c r="H142" s="150"/>
      <c r="I142" s="150"/>
      <c r="J142" s="150"/>
      <c r="K142" s="150"/>
      <c r="L142" s="150"/>
      <c r="M142" s="150"/>
      <c r="N142" s="150"/>
      <c r="O142" s="150"/>
      <c r="P142" s="150"/>
      <c r="Q142" s="150"/>
      <c r="R142" s="150"/>
      <c r="S142" s="150"/>
      <c r="T142" s="150"/>
      <c r="U142" s="150"/>
      <c r="V142" s="150"/>
      <c r="W142" s="150"/>
      <c r="X142" s="150"/>
    </row>
    <row r="143">
      <c r="A143" s="150"/>
      <c r="B143" s="182"/>
      <c r="C143" s="217"/>
      <c r="D143" s="150"/>
      <c r="E143" s="150"/>
      <c r="F143" s="150"/>
      <c r="G143" s="150"/>
      <c r="H143" s="150"/>
      <c r="I143" s="150"/>
      <c r="J143" s="150"/>
      <c r="K143" s="150"/>
      <c r="L143" s="150"/>
      <c r="M143" s="150"/>
      <c r="N143" s="150"/>
      <c r="O143" s="150"/>
      <c r="P143" s="150"/>
      <c r="Q143" s="150"/>
      <c r="R143" s="150"/>
      <c r="S143" s="150"/>
      <c r="T143" s="150"/>
      <c r="U143" s="150"/>
      <c r="V143" s="150"/>
      <c r="W143" s="150"/>
      <c r="X143" s="150"/>
    </row>
    <row r="144">
      <c r="A144" s="150"/>
      <c r="B144" s="182"/>
      <c r="C144" s="217"/>
      <c r="D144" s="150"/>
      <c r="E144" s="150"/>
      <c r="F144" s="150"/>
      <c r="G144" s="150"/>
      <c r="H144" s="150"/>
      <c r="I144" s="150"/>
      <c r="J144" s="150"/>
      <c r="K144" s="150"/>
      <c r="L144" s="150"/>
      <c r="M144" s="150"/>
      <c r="N144" s="150"/>
      <c r="O144" s="150"/>
      <c r="P144" s="150"/>
      <c r="Q144" s="150"/>
      <c r="R144" s="150"/>
      <c r="S144" s="150"/>
      <c r="T144" s="150"/>
      <c r="U144" s="150"/>
      <c r="V144" s="150"/>
      <c r="W144" s="150"/>
      <c r="X144" s="150"/>
    </row>
    <row r="145">
      <c r="A145" s="150"/>
      <c r="B145" s="182"/>
      <c r="C145" s="217"/>
      <c r="D145" s="150"/>
      <c r="E145" s="150"/>
      <c r="F145" s="150"/>
      <c r="G145" s="150"/>
      <c r="H145" s="150"/>
      <c r="I145" s="150"/>
      <c r="J145" s="150"/>
      <c r="K145" s="150"/>
      <c r="L145" s="150"/>
      <c r="M145" s="150"/>
      <c r="N145" s="150"/>
      <c r="O145" s="150"/>
      <c r="P145" s="150"/>
      <c r="Q145" s="150"/>
      <c r="R145" s="150"/>
      <c r="S145" s="150"/>
      <c r="T145" s="150"/>
      <c r="U145" s="150"/>
      <c r="V145" s="150"/>
      <c r="W145" s="150"/>
      <c r="X145" s="150"/>
    </row>
    <row r="146">
      <c r="A146" s="150"/>
      <c r="B146" s="182"/>
      <c r="C146" s="217"/>
      <c r="D146" s="150"/>
      <c r="E146" s="150"/>
      <c r="F146" s="150"/>
      <c r="G146" s="150"/>
      <c r="H146" s="150"/>
      <c r="I146" s="150"/>
      <c r="J146" s="150"/>
      <c r="K146" s="150"/>
      <c r="L146" s="150"/>
      <c r="M146" s="150"/>
      <c r="N146" s="150"/>
      <c r="O146" s="150"/>
      <c r="P146" s="150"/>
      <c r="Q146" s="150"/>
      <c r="R146" s="150"/>
      <c r="S146" s="150"/>
      <c r="T146" s="150"/>
      <c r="U146" s="150"/>
      <c r="V146" s="150"/>
      <c r="W146" s="150"/>
      <c r="X146" s="150"/>
    </row>
    <row r="147">
      <c r="A147" s="150"/>
      <c r="B147" s="182"/>
      <c r="C147" s="217"/>
      <c r="D147" s="150"/>
      <c r="E147" s="150"/>
      <c r="F147" s="150"/>
      <c r="G147" s="150"/>
      <c r="H147" s="150"/>
      <c r="I147" s="150"/>
      <c r="J147" s="150"/>
      <c r="K147" s="150"/>
      <c r="L147" s="150"/>
      <c r="M147" s="150"/>
      <c r="N147" s="150"/>
      <c r="O147" s="150"/>
      <c r="P147" s="150"/>
      <c r="Q147" s="150"/>
      <c r="R147" s="150"/>
      <c r="S147" s="150"/>
      <c r="T147" s="150"/>
      <c r="U147" s="150"/>
      <c r="V147" s="150"/>
      <c r="W147" s="150"/>
      <c r="X147" s="150"/>
    </row>
    <row r="148">
      <c r="A148" s="150"/>
      <c r="B148" s="182"/>
      <c r="C148" s="217"/>
      <c r="D148" s="150"/>
      <c r="E148" s="150"/>
      <c r="F148" s="150"/>
      <c r="G148" s="150"/>
      <c r="H148" s="150"/>
      <c r="I148" s="150"/>
      <c r="J148" s="150"/>
      <c r="K148" s="150"/>
      <c r="L148" s="150"/>
      <c r="M148" s="150"/>
      <c r="N148" s="150"/>
      <c r="O148" s="150"/>
      <c r="P148" s="150"/>
      <c r="Q148" s="150"/>
      <c r="R148" s="150"/>
      <c r="S148" s="150"/>
      <c r="T148" s="150"/>
      <c r="U148" s="150"/>
      <c r="V148" s="150"/>
      <c r="W148" s="150"/>
      <c r="X148" s="150"/>
    </row>
    <row r="149">
      <c r="A149" s="150"/>
      <c r="B149" s="182"/>
      <c r="C149" s="217"/>
      <c r="D149" s="150"/>
      <c r="E149" s="150"/>
      <c r="F149" s="150"/>
      <c r="G149" s="150"/>
      <c r="H149" s="150"/>
      <c r="I149" s="150"/>
      <c r="J149" s="150"/>
      <c r="K149" s="150"/>
      <c r="L149" s="150"/>
      <c r="M149" s="150"/>
      <c r="N149" s="150"/>
      <c r="O149" s="150"/>
      <c r="P149" s="150"/>
      <c r="Q149" s="150"/>
      <c r="R149" s="150"/>
      <c r="S149" s="150"/>
      <c r="T149" s="150"/>
      <c r="U149" s="150"/>
      <c r="V149" s="150"/>
      <c r="W149" s="150"/>
      <c r="X149" s="150"/>
    </row>
    <row r="150">
      <c r="A150" s="150"/>
      <c r="B150" s="182"/>
      <c r="C150" s="217"/>
      <c r="D150" s="150"/>
      <c r="E150" s="150"/>
      <c r="F150" s="150"/>
      <c r="G150" s="150"/>
      <c r="H150" s="150"/>
      <c r="I150" s="150"/>
      <c r="J150" s="150"/>
      <c r="K150" s="150"/>
      <c r="L150" s="150"/>
      <c r="M150" s="150"/>
      <c r="N150" s="150"/>
      <c r="O150" s="150"/>
      <c r="P150" s="150"/>
      <c r="Q150" s="150"/>
      <c r="R150" s="150"/>
      <c r="S150" s="150"/>
      <c r="T150" s="150"/>
      <c r="U150" s="150"/>
      <c r="V150" s="150"/>
      <c r="W150" s="150"/>
      <c r="X150" s="150"/>
    </row>
    <row r="151">
      <c r="A151" s="150"/>
      <c r="B151" s="182"/>
      <c r="C151" s="217"/>
      <c r="D151" s="150"/>
      <c r="E151" s="150"/>
      <c r="F151" s="150"/>
      <c r="G151" s="150"/>
      <c r="H151" s="150"/>
      <c r="I151" s="150"/>
      <c r="J151" s="150"/>
      <c r="K151" s="150"/>
      <c r="L151" s="150"/>
      <c r="M151" s="150"/>
      <c r="N151" s="150"/>
      <c r="O151" s="150"/>
      <c r="P151" s="150"/>
      <c r="Q151" s="150"/>
      <c r="R151" s="150"/>
      <c r="S151" s="150"/>
      <c r="T151" s="150"/>
      <c r="U151" s="150"/>
      <c r="V151" s="150"/>
      <c r="W151" s="150"/>
      <c r="X151" s="150"/>
    </row>
    <row r="152">
      <c r="A152" s="150"/>
      <c r="B152" s="182"/>
      <c r="C152" s="217"/>
      <c r="D152" s="150"/>
      <c r="E152" s="150"/>
      <c r="F152" s="150"/>
      <c r="G152" s="150"/>
      <c r="H152" s="150"/>
      <c r="I152" s="150"/>
      <c r="J152" s="150"/>
      <c r="K152" s="150"/>
      <c r="L152" s="150"/>
      <c r="M152" s="150"/>
      <c r="N152" s="150"/>
      <c r="O152" s="150"/>
      <c r="P152" s="150"/>
      <c r="Q152" s="150"/>
      <c r="R152" s="150"/>
      <c r="S152" s="150"/>
      <c r="T152" s="150"/>
      <c r="U152" s="150"/>
      <c r="V152" s="150"/>
      <c r="W152" s="150"/>
      <c r="X152" s="150"/>
    </row>
    <row r="153">
      <c r="A153" s="150"/>
      <c r="B153" s="182"/>
      <c r="C153" s="217"/>
      <c r="D153" s="150"/>
      <c r="E153" s="150"/>
      <c r="F153" s="150"/>
      <c r="G153" s="150"/>
      <c r="H153" s="150"/>
      <c r="I153" s="150"/>
      <c r="J153" s="150"/>
      <c r="K153" s="150"/>
      <c r="L153" s="150"/>
      <c r="M153" s="150"/>
      <c r="N153" s="150"/>
      <c r="O153" s="150"/>
      <c r="P153" s="150"/>
      <c r="Q153" s="150"/>
      <c r="R153" s="150"/>
      <c r="S153" s="150"/>
      <c r="T153" s="150"/>
      <c r="U153" s="150"/>
      <c r="V153" s="150"/>
      <c r="W153" s="150"/>
      <c r="X153" s="150"/>
    </row>
    <row r="154">
      <c r="A154" s="150"/>
      <c r="B154" s="182"/>
      <c r="C154" s="217"/>
      <c r="D154" s="150"/>
      <c r="E154" s="150"/>
      <c r="F154" s="150"/>
      <c r="G154" s="150"/>
      <c r="H154" s="150"/>
      <c r="I154" s="150"/>
      <c r="J154" s="150"/>
      <c r="K154" s="150"/>
      <c r="L154" s="150"/>
      <c r="M154" s="150"/>
      <c r="N154" s="150"/>
      <c r="O154" s="150"/>
      <c r="P154" s="150"/>
      <c r="Q154" s="150"/>
      <c r="R154" s="150"/>
      <c r="S154" s="150"/>
      <c r="T154" s="150"/>
      <c r="U154" s="150"/>
      <c r="V154" s="150"/>
      <c r="W154" s="150"/>
      <c r="X154" s="150"/>
    </row>
    <row r="155">
      <c r="A155" s="150"/>
      <c r="B155" s="182"/>
      <c r="C155" s="217"/>
      <c r="D155" s="150"/>
      <c r="E155" s="150"/>
      <c r="F155" s="150"/>
      <c r="G155" s="150"/>
      <c r="H155" s="150"/>
      <c r="I155" s="150"/>
      <c r="J155" s="150"/>
      <c r="K155" s="150"/>
      <c r="L155" s="150"/>
      <c r="M155" s="150"/>
      <c r="N155" s="150"/>
      <c r="O155" s="150"/>
      <c r="P155" s="150"/>
      <c r="Q155" s="150"/>
      <c r="R155" s="150"/>
      <c r="S155" s="150"/>
      <c r="T155" s="150"/>
      <c r="U155" s="150"/>
      <c r="V155" s="150"/>
      <c r="W155" s="150"/>
      <c r="X155" s="150"/>
    </row>
    <row r="156">
      <c r="A156" s="150"/>
      <c r="B156" s="182"/>
      <c r="C156" s="217"/>
      <c r="D156" s="150"/>
      <c r="E156" s="150"/>
      <c r="F156" s="150"/>
      <c r="G156" s="150"/>
      <c r="H156" s="150"/>
      <c r="I156" s="150"/>
      <c r="J156" s="150"/>
      <c r="K156" s="150"/>
      <c r="L156" s="150"/>
      <c r="M156" s="150"/>
      <c r="N156" s="150"/>
      <c r="O156" s="150"/>
      <c r="P156" s="150"/>
      <c r="Q156" s="150"/>
      <c r="R156" s="150"/>
      <c r="S156" s="150"/>
      <c r="T156" s="150"/>
      <c r="U156" s="150"/>
      <c r="V156" s="150"/>
      <c r="W156" s="150"/>
      <c r="X156" s="150"/>
    </row>
    <row r="157">
      <c r="A157" s="150"/>
      <c r="B157" s="182"/>
      <c r="C157" s="217"/>
      <c r="D157" s="150"/>
      <c r="E157" s="150"/>
      <c r="F157" s="150"/>
      <c r="G157" s="150"/>
      <c r="H157" s="150"/>
      <c r="I157" s="150"/>
      <c r="J157" s="150"/>
      <c r="K157" s="150"/>
      <c r="L157" s="150"/>
      <c r="M157" s="150"/>
      <c r="N157" s="150"/>
      <c r="O157" s="150"/>
      <c r="P157" s="150"/>
      <c r="Q157" s="150"/>
      <c r="R157" s="150"/>
      <c r="S157" s="150"/>
      <c r="T157" s="150"/>
      <c r="U157" s="150"/>
      <c r="V157" s="150"/>
      <c r="W157" s="150"/>
      <c r="X157" s="150"/>
    </row>
    <row r="158">
      <c r="A158" s="150"/>
      <c r="B158" s="182"/>
      <c r="C158" s="217"/>
      <c r="D158" s="150"/>
      <c r="E158" s="150"/>
      <c r="F158" s="150"/>
      <c r="G158" s="150"/>
      <c r="H158" s="150"/>
      <c r="I158" s="150"/>
      <c r="J158" s="150"/>
      <c r="K158" s="150"/>
      <c r="L158" s="150"/>
      <c r="M158" s="150"/>
      <c r="N158" s="150"/>
      <c r="O158" s="150"/>
      <c r="P158" s="150"/>
      <c r="Q158" s="150"/>
      <c r="R158" s="150"/>
      <c r="S158" s="150"/>
      <c r="T158" s="150"/>
      <c r="U158" s="150"/>
      <c r="V158" s="150"/>
      <c r="W158" s="150"/>
      <c r="X158" s="150"/>
    </row>
    <row r="159">
      <c r="A159" s="150"/>
      <c r="B159" s="182"/>
      <c r="C159" s="217"/>
      <c r="D159" s="150"/>
      <c r="E159" s="150"/>
      <c r="F159" s="150"/>
      <c r="G159" s="150"/>
      <c r="H159" s="150"/>
      <c r="I159" s="150"/>
      <c r="J159" s="150"/>
      <c r="K159" s="150"/>
      <c r="L159" s="150"/>
      <c r="M159" s="150"/>
      <c r="N159" s="150"/>
      <c r="O159" s="150"/>
      <c r="P159" s="150"/>
      <c r="Q159" s="150"/>
      <c r="R159" s="150"/>
      <c r="S159" s="150"/>
      <c r="T159" s="150"/>
      <c r="U159" s="150"/>
      <c r="V159" s="150"/>
      <c r="W159" s="150"/>
      <c r="X159" s="150"/>
    </row>
    <row r="160">
      <c r="A160" s="150"/>
      <c r="B160" s="182"/>
      <c r="C160" s="217"/>
      <c r="D160" s="150"/>
      <c r="E160" s="150"/>
      <c r="F160" s="150"/>
      <c r="G160" s="150"/>
      <c r="H160" s="150"/>
      <c r="I160" s="150"/>
      <c r="J160" s="150"/>
      <c r="K160" s="150"/>
      <c r="L160" s="150"/>
      <c r="M160" s="150"/>
      <c r="N160" s="150"/>
      <c r="O160" s="150"/>
      <c r="P160" s="150"/>
      <c r="Q160" s="150"/>
      <c r="R160" s="150"/>
      <c r="S160" s="150"/>
      <c r="T160" s="150"/>
      <c r="U160" s="150"/>
      <c r="V160" s="150"/>
      <c r="W160" s="150"/>
      <c r="X160" s="150"/>
    </row>
    <row r="161">
      <c r="A161" s="150"/>
      <c r="B161" s="182"/>
      <c r="C161" s="217"/>
      <c r="D161" s="150"/>
      <c r="E161" s="150"/>
      <c r="F161" s="150"/>
      <c r="G161" s="150"/>
      <c r="H161" s="150"/>
      <c r="I161" s="150"/>
      <c r="J161" s="150"/>
      <c r="K161" s="150"/>
      <c r="L161" s="150"/>
      <c r="M161" s="150"/>
      <c r="N161" s="150"/>
      <c r="O161" s="150"/>
      <c r="P161" s="150"/>
      <c r="Q161" s="150"/>
      <c r="R161" s="150"/>
      <c r="S161" s="150"/>
      <c r="T161" s="150"/>
      <c r="U161" s="150"/>
      <c r="V161" s="150"/>
      <c r="W161" s="150"/>
      <c r="X161" s="150"/>
    </row>
    <row r="162">
      <c r="A162" s="150"/>
      <c r="B162" s="182"/>
      <c r="C162" s="217"/>
      <c r="D162" s="150"/>
      <c r="E162" s="150"/>
      <c r="F162" s="150"/>
      <c r="G162" s="150"/>
      <c r="H162" s="150"/>
      <c r="I162" s="150"/>
      <c r="J162" s="150"/>
      <c r="K162" s="150"/>
      <c r="L162" s="150"/>
      <c r="M162" s="150"/>
      <c r="N162" s="150"/>
      <c r="O162" s="150"/>
      <c r="P162" s="150"/>
      <c r="Q162" s="150"/>
      <c r="R162" s="150"/>
      <c r="S162" s="150"/>
      <c r="T162" s="150"/>
      <c r="U162" s="150"/>
      <c r="V162" s="150"/>
      <c r="W162" s="150"/>
      <c r="X162" s="150"/>
    </row>
    <row r="163">
      <c r="A163" s="150"/>
      <c r="B163" s="182"/>
      <c r="C163" s="217"/>
      <c r="D163" s="150"/>
      <c r="E163" s="150"/>
      <c r="F163" s="150"/>
      <c r="G163" s="150"/>
      <c r="H163" s="150"/>
      <c r="I163" s="150"/>
      <c r="J163" s="150"/>
      <c r="K163" s="150"/>
      <c r="L163" s="150"/>
      <c r="M163" s="150"/>
      <c r="N163" s="150"/>
      <c r="O163" s="150"/>
      <c r="P163" s="150"/>
      <c r="Q163" s="150"/>
      <c r="R163" s="150"/>
      <c r="S163" s="150"/>
      <c r="T163" s="150"/>
      <c r="U163" s="150"/>
      <c r="V163" s="150"/>
      <c r="W163" s="150"/>
      <c r="X163" s="150"/>
    </row>
    <row r="164">
      <c r="A164" s="150"/>
      <c r="B164" s="182"/>
      <c r="C164" s="217"/>
      <c r="D164" s="150"/>
      <c r="E164" s="150"/>
      <c r="F164" s="150"/>
      <c r="G164" s="150"/>
      <c r="H164" s="150"/>
      <c r="I164" s="150"/>
      <c r="J164" s="150"/>
      <c r="K164" s="150"/>
      <c r="L164" s="150"/>
      <c r="M164" s="150"/>
      <c r="N164" s="150"/>
      <c r="O164" s="150"/>
      <c r="P164" s="150"/>
      <c r="Q164" s="150"/>
      <c r="R164" s="150"/>
      <c r="S164" s="150"/>
      <c r="T164" s="150"/>
      <c r="U164" s="150"/>
      <c r="V164" s="150"/>
      <c r="W164" s="150"/>
      <c r="X164" s="150"/>
    </row>
    <row r="165">
      <c r="A165" s="150"/>
      <c r="B165" s="182"/>
      <c r="C165" s="217"/>
      <c r="D165" s="150"/>
      <c r="E165" s="150"/>
      <c r="F165" s="150"/>
      <c r="G165" s="150"/>
      <c r="H165" s="150"/>
      <c r="I165" s="150"/>
      <c r="J165" s="150"/>
      <c r="K165" s="150"/>
      <c r="L165" s="150"/>
      <c r="M165" s="150"/>
      <c r="N165" s="150"/>
      <c r="O165" s="150"/>
      <c r="P165" s="150"/>
      <c r="Q165" s="150"/>
      <c r="R165" s="150"/>
      <c r="S165" s="150"/>
      <c r="T165" s="150"/>
      <c r="U165" s="150"/>
      <c r="V165" s="150"/>
      <c r="W165" s="150"/>
      <c r="X165" s="150"/>
    </row>
    <row r="166">
      <c r="A166" s="150"/>
      <c r="B166" s="182"/>
      <c r="C166" s="217"/>
      <c r="D166" s="150"/>
      <c r="E166" s="150"/>
      <c r="F166" s="150"/>
      <c r="G166" s="150"/>
      <c r="H166" s="150"/>
      <c r="I166" s="150"/>
      <c r="J166" s="150"/>
      <c r="K166" s="150"/>
      <c r="L166" s="150"/>
      <c r="M166" s="150"/>
      <c r="N166" s="150"/>
      <c r="O166" s="150"/>
      <c r="P166" s="150"/>
      <c r="Q166" s="150"/>
      <c r="R166" s="150"/>
      <c r="S166" s="150"/>
      <c r="T166" s="150"/>
      <c r="U166" s="150"/>
      <c r="V166" s="150"/>
      <c r="W166" s="150"/>
      <c r="X166" s="150"/>
    </row>
    <row r="167">
      <c r="A167" s="150"/>
      <c r="B167" s="182"/>
      <c r="C167" s="217"/>
      <c r="D167" s="150"/>
      <c r="E167" s="150"/>
      <c r="F167" s="150"/>
      <c r="G167" s="150"/>
      <c r="H167" s="150"/>
      <c r="I167" s="150"/>
      <c r="J167" s="150"/>
      <c r="K167" s="150"/>
      <c r="L167" s="150"/>
      <c r="M167" s="150"/>
      <c r="N167" s="150"/>
      <c r="O167" s="150"/>
      <c r="P167" s="150"/>
      <c r="Q167" s="150"/>
      <c r="R167" s="150"/>
      <c r="S167" s="150"/>
      <c r="T167" s="150"/>
      <c r="U167" s="150"/>
      <c r="V167" s="150"/>
      <c r="W167" s="150"/>
      <c r="X167" s="150"/>
    </row>
    <row r="168">
      <c r="A168" s="150"/>
      <c r="B168" s="182"/>
      <c r="C168" s="217"/>
      <c r="D168" s="150"/>
      <c r="E168" s="150"/>
      <c r="F168" s="150"/>
      <c r="G168" s="150"/>
      <c r="H168" s="150"/>
      <c r="I168" s="150"/>
      <c r="J168" s="150"/>
      <c r="K168" s="150"/>
      <c r="L168" s="150"/>
      <c r="M168" s="150"/>
      <c r="N168" s="150"/>
      <c r="O168" s="150"/>
      <c r="P168" s="150"/>
      <c r="Q168" s="150"/>
      <c r="R168" s="150"/>
      <c r="S168" s="150"/>
      <c r="T168" s="150"/>
      <c r="U168" s="150"/>
      <c r="V168" s="150"/>
      <c r="W168" s="150"/>
      <c r="X168" s="150"/>
    </row>
    <row r="169">
      <c r="A169" s="150"/>
      <c r="B169" s="182"/>
      <c r="C169" s="217"/>
      <c r="D169" s="150"/>
      <c r="E169" s="150"/>
      <c r="F169" s="150"/>
      <c r="G169" s="150"/>
      <c r="H169" s="150"/>
      <c r="I169" s="150"/>
      <c r="J169" s="150"/>
      <c r="K169" s="150"/>
      <c r="L169" s="150"/>
      <c r="M169" s="150"/>
      <c r="N169" s="150"/>
      <c r="O169" s="150"/>
      <c r="P169" s="150"/>
      <c r="Q169" s="150"/>
      <c r="R169" s="150"/>
      <c r="S169" s="150"/>
      <c r="T169" s="150"/>
      <c r="U169" s="150"/>
      <c r="V169" s="150"/>
      <c r="W169" s="150"/>
      <c r="X169" s="150"/>
    </row>
    <row r="170">
      <c r="A170" s="150"/>
      <c r="B170" s="182"/>
      <c r="C170" s="217"/>
      <c r="D170" s="150"/>
      <c r="E170" s="150"/>
      <c r="F170" s="150"/>
      <c r="G170" s="150"/>
      <c r="H170" s="150"/>
      <c r="I170" s="150"/>
      <c r="J170" s="150"/>
      <c r="K170" s="150"/>
      <c r="L170" s="150"/>
      <c r="M170" s="150"/>
      <c r="N170" s="150"/>
      <c r="O170" s="150"/>
      <c r="P170" s="150"/>
      <c r="Q170" s="150"/>
      <c r="R170" s="150"/>
      <c r="S170" s="150"/>
      <c r="T170" s="150"/>
      <c r="U170" s="150"/>
      <c r="V170" s="150"/>
      <c r="W170" s="150"/>
      <c r="X170" s="150"/>
    </row>
    <row r="171">
      <c r="A171" s="150"/>
      <c r="B171" s="182"/>
      <c r="C171" s="217"/>
      <c r="D171" s="150"/>
      <c r="E171" s="150"/>
      <c r="F171" s="150"/>
      <c r="G171" s="150"/>
      <c r="H171" s="150"/>
      <c r="I171" s="150"/>
      <c r="J171" s="150"/>
      <c r="K171" s="150"/>
      <c r="L171" s="150"/>
      <c r="M171" s="150"/>
      <c r="N171" s="150"/>
      <c r="O171" s="150"/>
      <c r="P171" s="150"/>
      <c r="Q171" s="150"/>
      <c r="R171" s="150"/>
      <c r="S171" s="150"/>
      <c r="T171" s="150"/>
      <c r="U171" s="150"/>
      <c r="V171" s="150"/>
      <c r="W171" s="150"/>
      <c r="X171" s="150"/>
    </row>
    <row r="172">
      <c r="A172" s="150"/>
      <c r="B172" s="182"/>
      <c r="C172" s="217"/>
      <c r="D172" s="150"/>
      <c r="E172" s="150"/>
      <c r="F172" s="150"/>
      <c r="G172" s="150"/>
      <c r="H172" s="150"/>
      <c r="I172" s="150"/>
      <c r="J172" s="150"/>
      <c r="K172" s="150"/>
      <c r="L172" s="150"/>
      <c r="M172" s="150"/>
      <c r="N172" s="150"/>
      <c r="O172" s="150"/>
      <c r="P172" s="150"/>
      <c r="Q172" s="150"/>
      <c r="R172" s="150"/>
      <c r="S172" s="150"/>
      <c r="T172" s="150"/>
      <c r="U172" s="150"/>
      <c r="V172" s="150"/>
      <c r="W172" s="150"/>
      <c r="X172" s="150"/>
    </row>
    <row r="173">
      <c r="A173" s="150"/>
      <c r="B173" s="182"/>
      <c r="C173" s="217"/>
      <c r="D173" s="150"/>
      <c r="E173" s="150"/>
      <c r="F173" s="150"/>
      <c r="G173" s="150"/>
      <c r="H173" s="150"/>
      <c r="I173" s="150"/>
      <c r="J173" s="150"/>
      <c r="K173" s="150"/>
      <c r="L173" s="150"/>
      <c r="M173" s="150"/>
      <c r="N173" s="150"/>
      <c r="O173" s="150"/>
      <c r="P173" s="150"/>
      <c r="Q173" s="150"/>
      <c r="R173" s="150"/>
      <c r="S173" s="150"/>
      <c r="T173" s="150"/>
      <c r="U173" s="150"/>
      <c r="V173" s="150"/>
      <c r="W173" s="150"/>
      <c r="X173" s="150"/>
    </row>
    <row r="174">
      <c r="A174" s="150"/>
      <c r="B174" s="182"/>
      <c r="C174" s="217"/>
      <c r="D174" s="150"/>
      <c r="E174" s="150"/>
      <c r="F174" s="150"/>
      <c r="G174" s="150"/>
      <c r="H174" s="150"/>
      <c r="I174" s="150"/>
      <c r="J174" s="150"/>
      <c r="K174" s="150"/>
      <c r="L174" s="150"/>
      <c r="M174" s="150"/>
      <c r="N174" s="150"/>
      <c r="O174" s="150"/>
      <c r="P174" s="150"/>
      <c r="Q174" s="150"/>
      <c r="R174" s="150"/>
      <c r="S174" s="150"/>
      <c r="T174" s="150"/>
      <c r="U174" s="150"/>
      <c r="V174" s="150"/>
      <c r="W174" s="150"/>
      <c r="X174" s="150"/>
    </row>
    <row r="175">
      <c r="A175" s="150"/>
      <c r="B175" s="182"/>
      <c r="C175" s="217"/>
      <c r="D175" s="150"/>
      <c r="E175" s="150"/>
      <c r="F175" s="150"/>
      <c r="G175" s="150"/>
      <c r="H175" s="150"/>
      <c r="I175" s="150"/>
      <c r="J175" s="150"/>
      <c r="K175" s="150"/>
      <c r="L175" s="150"/>
      <c r="M175" s="150"/>
      <c r="N175" s="150"/>
      <c r="O175" s="150"/>
      <c r="P175" s="150"/>
      <c r="Q175" s="150"/>
      <c r="R175" s="150"/>
      <c r="S175" s="150"/>
      <c r="T175" s="150"/>
      <c r="U175" s="150"/>
      <c r="V175" s="150"/>
      <c r="W175" s="150"/>
      <c r="X175" s="150"/>
    </row>
    <row r="176">
      <c r="A176" s="150"/>
      <c r="B176" s="182"/>
      <c r="C176" s="217"/>
      <c r="D176" s="150"/>
      <c r="E176" s="150"/>
      <c r="F176" s="150"/>
      <c r="G176" s="150"/>
      <c r="H176" s="150"/>
      <c r="I176" s="150"/>
      <c r="J176" s="150"/>
      <c r="K176" s="150"/>
      <c r="L176" s="150"/>
      <c r="M176" s="150"/>
      <c r="N176" s="150"/>
      <c r="O176" s="150"/>
      <c r="P176" s="150"/>
      <c r="Q176" s="150"/>
      <c r="R176" s="150"/>
      <c r="S176" s="150"/>
      <c r="T176" s="150"/>
      <c r="U176" s="150"/>
      <c r="V176" s="150"/>
      <c r="W176" s="150"/>
      <c r="X176" s="150"/>
    </row>
    <row r="177">
      <c r="A177" s="150"/>
      <c r="B177" s="182"/>
      <c r="C177" s="217"/>
      <c r="D177" s="150"/>
      <c r="E177" s="150"/>
      <c r="F177" s="150"/>
      <c r="G177" s="150"/>
      <c r="H177" s="150"/>
      <c r="I177" s="150"/>
      <c r="J177" s="150"/>
      <c r="K177" s="150"/>
      <c r="L177" s="150"/>
      <c r="M177" s="150"/>
      <c r="N177" s="150"/>
      <c r="O177" s="150"/>
      <c r="P177" s="150"/>
      <c r="Q177" s="150"/>
      <c r="R177" s="150"/>
      <c r="S177" s="150"/>
      <c r="T177" s="150"/>
      <c r="U177" s="150"/>
      <c r="V177" s="150"/>
      <c r="W177" s="150"/>
      <c r="X177" s="150"/>
    </row>
    <row r="178">
      <c r="A178" s="150"/>
      <c r="B178" s="182"/>
      <c r="C178" s="217"/>
      <c r="D178" s="150"/>
      <c r="E178" s="150"/>
      <c r="F178" s="150"/>
      <c r="G178" s="150"/>
      <c r="H178" s="150"/>
      <c r="I178" s="150"/>
      <c r="J178" s="150"/>
      <c r="K178" s="150"/>
      <c r="L178" s="150"/>
      <c r="M178" s="150"/>
      <c r="N178" s="150"/>
      <c r="O178" s="150"/>
      <c r="P178" s="150"/>
      <c r="Q178" s="150"/>
      <c r="R178" s="150"/>
      <c r="S178" s="150"/>
      <c r="T178" s="150"/>
      <c r="U178" s="150"/>
      <c r="V178" s="150"/>
      <c r="W178" s="150"/>
      <c r="X178" s="150"/>
    </row>
    <row r="179">
      <c r="A179" s="150"/>
      <c r="B179" s="182"/>
      <c r="C179" s="217"/>
      <c r="D179" s="150"/>
      <c r="E179" s="150"/>
      <c r="F179" s="150"/>
      <c r="G179" s="150"/>
      <c r="H179" s="150"/>
      <c r="I179" s="150"/>
      <c r="J179" s="150"/>
      <c r="K179" s="150"/>
      <c r="L179" s="150"/>
      <c r="M179" s="150"/>
      <c r="N179" s="150"/>
      <c r="O179" s="150"/>
      <c r="P179" s="150"/>
      <c r="Q179" s="150"/>
      <c r="R179" s="150"/>
      <c r="S179" s="150"/>
      <c r="T179" s="150"/>
      <c r="U179" s="150"/>
      <c r="V179" s="150"/>
      <c r="W179" s="150"/>
      <c r="X179" s="150"/>
    </row>
    <row r="180">
      <c r="A180" s="150"/>
      <c r="B180" s="182"/>
      <c r="C180" s="217"/>
      <c r="D180" s="150"/>
      <c r="E180" s="150"/>
      <c r="F180" s="150"/>
      <c r="G180" s="150"/>
      <c r="H180" s="150"/>
      <c r="I180" s="150"/>
      <c r="J180" s="150"/>
      <c r="K180" s="150"/>
      <c r="L180" s="150"/>
      <c r="M180" s="150"/>
      <c r="N180" s="150"/>
      <c r="O180" s="150"/>
      <c r="P180" s="150"/>
      <c r="Q180" s="150"/>
      <c r="R180" s="150"/>
      <c r="S180" s="150"/>
      <c r="T180" s="150"/>
      <c r="U180" s="150"/>
      <c r="V180" s="150"/>
      <c r="W180" s="150"/>
      <c r="X180" s="150"/>
    </row>
    <row r="181">
      <c r="A181" s="150"/>
      <c r="B181" s="182"/>
      <c r="C181" s="217"/>
      <c r="D181" s="150"/>
      <c r="E181" s="150"/>
      <c r="F181" s="150"/>
      <c r="G181" s="150"/>
      <c r="H181" s="150"/>
      <c r="I181" s="150"/>
      <c r="J181" s="150"/>
      <c r="K181" s="150"/>
      <c r="L181" s="150"/>
      <c r="M181" s="150"/>
      <c r="N181" s="150"/>
      <c r="O181" s="150"/>
      <c r="P181" s="150"/>
      <c r="Q181" s="150"/>
      <c r="R181" s="150"/>
      <c r="S181" s="150"/>
      <c r="T181" s="150"/>
      <c r="U181" s="150"/>
      <c r="V181" s="150"/>
      <c r="W181" s="150"/>
      <c r="X181" s="150"/>
    </row>
    <row r="182">
      <c r="A182" s="150"/>
      <c r="B182" s="182"/>
      <c r="C182" s="217"/>
      <c r="D182" s="150"/>
      <c r="E182" s="150"/>
      <c r="F182" s="150"/>
      <c r="G182" s="150"/>
      <c r="H182" s="150"/>
      <c r="I182" s="150"/>
      <c r="J182" s="150"/>
      <c r="K182" s="150"/>
      <c r="L182" s="150"/>
      <c r="M182" s="150"/>
      <c r="N182" s="150"/>
      <c r="O182" s="150"/>
      <c r="P182" s="150"/>
      <c r="Q182" s="150"/>
      <c r="R182" s="150"/>
      <c r="S182" s="150"/>
      <c r="T182" s="150"/>
      <c r="U182" s="150"/>
      <c r="V182" s="150"/>
      <c r="W182" s="150"/>
      <c r="X182" s="150"/>
    </row>
    <row r="183">
      <c r="A183" s="150"/>
      <c r="B183" s="182"/>
      <c r="C183" s="217"/>
      <c r="D183" s="150"/>
      <c r="E183" s="150"/>
      <c r="F183" s="150"/>
      <c r="G183" s="150"/>
      <c r="H183" s="150"/>
      <c r="I183" s="150"/>
      <c r="J183" s="150"/>
      <c r="K183" s="150"/>
      <c r="L183" s="150"/>
      <c r="M183" s="150"/>
      <c r="N183" s="150"/>
      <c r="O183" s="150"/>
      <c r="P183" s="150"/>
      <c r="Q183" s="150"/>
      <c r="R183" s="150"/>
      <c r="S183" s="150"/>
      <c r="T183" s="150"/>
      <c r="U183" s="150"/>
      <c r="V183" s="150"/>
      <c r="W183" s="150"/>
      <c r="X183" s="150"/>
    </row>
    <row r="184">
      <c r="A184" s="150"/>
      <c r="B184" s="182"/>
      <c r="C184" s="217"/>
      <c r="D184" s="150"/>
      <c r="E184" s="150"/>
      <c r="F184" s="150"/>
      <c r="G184" s="150"/>
      <c r="H184" s="150"/>
      <c r="I184" s="150"/>
      <c r="J184" s="150"/>
      <c r="K184" s="150"/>
      <c r="L184" s="150"/>
      <c r="M184" s="150"/>
      <c r="N184" s="150"/>
      <c r="O184" s="150"/>
      <c r="P184" s="150"/>
      <c r="Q184" s="150"/>
      <c r="R184" s="150"/>
      <c r="S184" s="150"/>
      <c r="T184" s="150"/>
      <c r="U184" s="150"/>
      <c r="V184" s="150"/>
      <c r="W184" s="150"/>
      <c r="X184" s="150"/>
    </row>
    <row r="185">
      <c r="A185" s="150"/>
      <c r="B185" s="182"/>
      <c r="C185" s="217"/>
      <c r="D185" s="150"/>
      <c r="E185" s="150"/>
      <c r="F185" s="150"/>
      <c r="G185" s="150"/>
      <c r="H185" s="150"/>
      <c r="I185" s="150"/>
      <c r="J185" s="150"/>
      <c r="K185" s="150"/>
      <c r="L185" s="150"/>
      <c r="M185" s="150"/>
      <c r="N185" s="150"/>
      <c r="O185" s="150"/>
      <c r="P185" s="150"/>
      <c r="Q185" s="150"/>
      <c r="R185" s="150"/>
      <c r="S185" s="150"/>
      <c r="T185" s="150"/>
      <c r="U185" s="150"/>
      <c r="V185" s="150"/>
      <c r="W185" s="150"/>
      <c r="X185" s="150"/>
    </row>
    <row r="186">
      <c r="A186" s="150"/>
      <c r="B186" s="182"/>
      <c r="C186" s="217"/>
      <c r="D186" s="150"/>
      <c r="E186" s="150"/>
      <c r="F186" s="150"/>
      <c r="G186" s="150"/>
      <c r="H186" s="150"/>
      <c r="I186" s="150"/>
      <c r="J186" s="150"/>
      <c r="K186" s="150"/>
      <c r="L186" s="150"/>
      <c r="M186" s="150"/>
      <c r="N186" s="150"/>
      <c r="O186" s="150"/>
      <c r="P186" s="150"/>
      <c r="Q186" s="150"/>
      <c r="R186" s="150"/>
      <c r="S186" s="150"/>
      <c r="T186" s="150"/>
      <c r="U186" s="150"/>
      <c r="V186" s="150"/>
      <c r="W186" s="150"/>
      <c r="X186" s="150"/>
    </row>
    <row r="187">
      <c r="A187" s="150"/>
      <c r="B187" s="182"/>
      <c r="C187" s="217"/>
      <c r="D187" s="150"/>
      <c r="E187" s="150"/>
      <c r="F187" s="150"/>
      <c r="G187" s="150"/>
      <c r="H187" s="150"/>
      <c r="I187" s="150"/>
      <c r="J187" s="150"/>
      <c r="K187" s="150"/>
      <c r="L187" s="150"/>
      <c r="M187" s="150"/>
      <c r="N187" s="150"/>
      <c r="O187" s="150"/>
      <c r="P187" s="150"/>
      <c r="Q187" s="150"/>
      <c r="R187" s="150"/>
      <c r="S187" s="150"/>
      <c r="T187" s="150"/>
      <c r="U187" s="150"/>
      <c r="V187" s="150"/>
      <c r="W187" s="150"/>
      <c r="X187" s="150"/>
    </row>
    <row r="188">
      <c r="A188" s="150"/>
      <c r="B188" s="182"/>
      <c r="C188" s="217"/>
      <c r="D188" s="150"/>
      <c r="E188" s="150"/>
      <c r="F188" s="150"/>
      <c r="G188" s="150"/>
      <c r="H188" s="150"/>
      <c r="I188" s="150"/>
      <c r="J188" s="150"/>
      <c r="K188" s="150"/>
      <c r="L188" s="150"/>
      <c r="M188" s="150"/>
      <c r="N188" s="150"/>
      <c r="O188" s="150"/>
      <c r="P188" s="150"/>
      <c r="Q188" s="150"/>
      <c r="R188" s="150"/>
      <c r="S188" s="150"/>
      <c r="T188" s="150"/>
      <c r="U188" s="150"/>
      <c r="V188" s="150"/>
      <c r="W188" s="150"/>
      <c r="X188" s="150"/>
    </row>
    <row r="189">
      <c r="A189" s="150"/>
      <c r="B189" s="182"/>
      <c r="C189" s="217"/>
      <c r="D189" s="150"/>
      <c r="E189" s="150"/>
      <c r="F189" s="150"/>
      <c r="G189" s="150"/>
      <c r="H189" s="150"/>
      <c r="I189" s="150"/>
      <c r="J189" s="150"/>
      <c r="K189" s="150"/>
      <c r="L189" s="150"/>
      <c r="M189" s="150"/>
      <c r="N189" s="150"/>
      <c r="O189" s="150"/>
      <c r="P189" s="150"/>
      <c r="Q189" s="150"/>
      <c r="R189" s="150"/>
      <c r="S189" s="150"/>
      <c r="T189" s="150"/>
      <c r="U189" s="150"/>
      <c r="V189" s="150"/>
      <c r="W189" s="150"/>
      <c r="X189" s="150"/>
    </row>
    <row r="190">
      <c r="A190" s="150"/>
      <c r="B190" s="182"/>
      <c r="C190" s="217"/>
      <c r="D190" s="150"/>
      <c r="E190" s="150"/>
      <c r="F190" s="150"/>
      <c r="G190" s="150"/>
      <c r="H190" s="150"/>
      <c r="I190" s="150"/>
      <c r="J190" s="150"/>
      <c r="K190" s="150"/>
      <c r="L190" s="150"/>
      <c r="M190" s="150"/>
      <c r="N190" s="150"/>
      <c r="O190" s="150"/>
      <c r="P190" s="150"/>
      <c r="Q190" s="150"/>
      <c r="R190" s="150"/>
      <c r="S190" s="150"/>
      <c r="T190" s="150"/>
      <c r="U190" s="150"/>
      <c r="V190" s="150"/>
      <c r="W190" s="150"/>
      <c r="X190" s="150"/>
    </row>
    <row r="191">
      <c r="A191" s="150"/>
      <c r="B191" s="182"/>
      <c r="C191" s="217"/>
      <c r="D191" s="150"/>
      <c r="E191" s="150"/>
      <c r="F191" s="150"/>
      <c r="G191" s="150"/>
      <c r="H191" s="150"/>
      <c r="I191" s="150"/>
      <c r="J191" s="150"/>
      <c r="K191" s="150"/>
      <c r="L191" s="150"/>
      <c r="M191" s="150"/>
      <c r="N191" s="150"/>
      <c r="O191" s="150"/>
      <c r="P191" s="150"/>
      <c r="Q191" s="150"/>
      <c r="R191" s="150"/>
      <c r="S191" s="150"/>
      <c r="T191" s="150"/>
      <c r="U191" s="150"/>
      <c r="V191" s="150"/>
      <c r="W191" s="150"/>
      <c r="X191" s="150"/>
    </row>
    <row r="192">
      <c r="A192" s="150"/>
      <c r="B192" s="182"/>
      <c r="C192" s="217"/>
      <c r="D192" s="150"/>
      <c r="E192" s="150"/>
      <c r="F192" s="150"/>
      <c r="G192" s="150"/>
      <c r="H192" s="150"/>
      <c r="I192" s="150"/>
      <c r="J192" s="150"/>
      <c r="K192" s="150"/>
      <c r="L192" s="150"/>
      <c r="M192" s="150"/>
      <c r="N192" s="150"/>
      <c r="O192" s="150"/>
      <c r="P192" s="150"/>
      <c r="Q192" s="150"/>
      <c r="R192" s="150"/>
      <c r="S192" s="150"/>
      <c r="T192" s="150"/>
      <c r="U192" s="150"/>
      <c r="V192" s="150"/>
      <c r="W192" s="150"/>
      <c r="X192" s="150"/>
    </row>
    <row r="193">
      <c r="A193" s="150"/>
      <c r="B193" s="182"/>
      <c r="C193" s="217"/>
      <c r="D193" s="150"/>
      <c r="E193" s="150"/>
      <c r="F193" s="150"/>
      <c r="G193" s="150"/>
      <c r="H193" s="150"/>
      <c r="I193" s="150"/>
      <c r="J193" s="150"/>
      <c r="K193" s="150"/>
      <c r="L193" s="150"/>
      <c r="M193" s="150"/>
      <c r="N193" s="150"/>
      <c r="O193" s="150"/>
      <c r="P193" s="150"/>
      <c r="Q193" s="150"/>
      <c r="R193" s="150"/>
      <c r="S193" s="150"/>
      <c r="T193" s="150"/>
      <c r="U193" s="150"/>
      <c r="V193" s="150"/>
      <c r="W193" s="150"/>
      <c r="X193" s="150"/>
    </row>
    <row r="194">
      <c r="A194" s="150"/>
      <c r="B194" s="182"/>
      <c r="C194" s="217"/>
      <c r="D194" s="150"/>
      <c r="E194" s="150"/>
      <c r="F194" s="150"/>
      <c r="G194" s="150"/>
      <c r="H194" s="150"/>
      <c r="I194" s="150"/>
      <c r="J194" s="150"/>
      <c r="K194" s="150"/>
      <c r="L194" s="150"/>
      <c r="M194" s="150"/>
      <c r="N194" s="150"/>
      <c r="O194" s="150"/>
      <c r="P194" s="150"/>
      <c r="Q194" s="150"/>
      <c r="R194" s="150"/>
      <c r="S194" s="150"/>
      <c r="T194" s="150"/>
      <c r="U194" s="150"/>
      <c r="V194" s="150"/>
      <c r="W194" s="150"/>
      <c r="X194" s="150"/>
    </row>
    <row r="195">
      <c r="A195" s="150"/>
      <c r="B195" s="182"/>
      <c r="C195" s="217"/>
      <c r="D195" s="150"/>
      <c r="E195" s="150"/>
      <c r="F195" s="150"/>
      <c r="G195" s="150"/>
      <c r="H195" s="150"/>
      <c r="I195" s="150"/>
      <c r="J195" s="150"/>
      <c r="K195" s="150"/>
      <c r="L195" s="150"/>
      <c r="M195" s="150"/>
      <c r="N195" s="150"/>
      <c r="O195" s="150"/>
      <c r="P195" s="150"/>
      <c r="Q195" s="150"/>
      <c r="R195" s="150"/>
      <c r="S195" s="150"/>
      <c r="T195" s="150"/>
      <c r="U195" s="150"/>
      <c r="V195" s="150"/>
      <c r="W195" s="150"/>
      <c r="X195" s="150"/>
    </row>
    <row r="196">
      <c r="A196" s="150"/>
      <c r="B196" s="182"/>
      <c r="C196" s="217"/>
      <c r="D196" s="150"/>
      <c r="E196" s="150"/>
      <c r="F196" s="150"/>
      <c r="G196" s="150"/>
      <c r="H196" s="150"/>
      <c r="I196" s="150"/>
      <c r="J196" s="150"/>
      <c r="K196" s="150"/>
      <c r="L196" s="150"/>
      <c r="M196" s="150"/>
      <c r="N196" s="150"/>
      <c r="O196" s="150"/>
      <c r="P196" s="150"/>
      <c r="Q196" s="150"/>
      <c r="R196" s="150"/>
      <c r="S196" s="150"/>
      <c r="T196" s="150"/>
      <c r="U196" s="150"/>
      <c r="V196" s="150"/>
      <c r="W196" s="150"/>
      <c r="X196" s="150"/>
    </row>
    <row r="197">
      <c r="A197" s="150"/>
      <c r="B197" s="182"/>
      <c r="C197" s="217"/>
      <c r="D197" s="150"/>
      <c r="E197" s="150"/>
      <c r="F197" s="150"/>
      <c r="G197" s="150"/>
      <c r="H197" s="150"/>
      <c r="I197" s="150"/>
      <c r="J197" s="150"/>
      <c r="K197" s="150"/>
      <c r="L197" s="150"/>
      <c r="M197" s="150"/>
      <c r="N197" s="150"/>
      <c r="O197" s="150"/>
      <c r="P197" s="150"/>
      <c r="Q197" s="150"/>
      <c r="R197" s="150"/>
      <c r="S197" s="150"/>
      <c r="T197" s="150"/>
      <c r="U197" s="150"/>
      <c r="V197" s="150"/>
      <c r="W197" s="150"/>
      <c r="X197" s="150"/>
    </row>
    <row r="198">
      <c r="A198" s="150"/>
      <c r="B198" s="182"/>
      <c r="C198" s="217"/>
      <c r="D198" s="150"/>
      <c r="E198" s="150"/>
      <c r="F198" s="150"/>
      <c r="G198" s="150"/>
      <c r="H198" s="150"/>
      <c r="I198" s="150"/>
      <c r="J198" s="150"/>
      <c r="K198" s="150"/>
      <c r="L198" s="150"/>
      <c r="M198" s="150"/>
      <c r="N198" s="150"/>
      <c r="O198" s="150"/>
      <c r="P198" s="150"/>
      <c r="Q198" s="150"/>
      <c r="R198" s="150"/>
      <c r="S198" s="150"/>
      <c r="T198" s="150"/>
      <c r="U198" s="150"/>
      <c r="V198" s="150"/>
      <c r="W198" s="150"/>
      <c r="X198" s="150"/>
    </row>
    <row r="199">
      <c r="A199" s="150"/>
      <c r="B199" s="182"/>
      <c r="C199" s="217"/>
      <c r="D199" s="150"/>
      <c r="E199" s="150"/>
      <c r="F199" s="150"/>
      <c r="G199" s="150"/>
      <c r="H199" s="150"/>
      <c r="I199" s="150"/>
      <c r="J199" s="150"/>
      <c r="K199" s="150"/>
      <c r="L199" s="150"/>
      <c r="M199" s="150"/>
      <c r="N199" s="150"/>
      <c r="O199" s="150"/>
      <c r="P199" s="150"/>
      <c r="Q199" s="150"/>
      <c r="R199" s="150"/>
      <c r="S199" s="150"/>
      <c r="T199" s="150"/>
      <c r="U199" s="150"/>
      <c r="V199" s="150"/>
      <c r="W199" s="150"/>
      <c r="X199" s="150"/>
    </row>
    <row r="200">
      <c r="A200" s="150"/>
      <c r="B200" s="182"/>
      <c r="C200" s="217"/>
      <c r="D200" s="150"/>
      <c r="E200" s="150"/>
      <c r="F200" s="150"/>
      <c r="G200" s="150"/>
      <c r="H200" s="150"/>
      <c r="I200" s="150"/>
      <c r="J200" s="150"/>
      <c r="K200" s="150"/>
      <c r="L200" s="150"/>
      <c r="M200" s="150"/>
      <c r="N200" s="150"/>
      <c r="O200" s="150"/>
      <c r="P200" s="150"/>
      <c r="Q200" s="150"/>
      <c r="R200" s="150"/>
      <c r="S200" s="150"/>
      <c r="T200" s="150"/>
      <c r="U200" s="150"/>
      <c r="V200" s="150"/>
      <c r="W200" s="150"/>
      <c r="X200" s="150"/>
    </row>
    <row r="201">
      <c r="A201" s="150"/>
      <c r="B201" s="182"/>
      <c r="C201" s="217"/>
      <c r="D201" s="150"/>
      <c r="E201" s="150"/>
      <c r="F201" s="150"/>
      <c r="G201" s="150"/>
      <c r="H201" s="150"/>
      <c r="I201" s="150"/>
      <c r="J201" s="150"/>
      <c r="K201" s="150"/>
      <c r="L201" s="150"/>
      <c r="M201" s="150"/>
      <c r="N201" s="150"/>
      <c r="O201" s="150"/>
      <c r="P201" s="150"/>
      <c r="Q201" s="150"/>
      <c r="R201" s="150"/>
      <c r="S201" s="150"/>
      <c r="T201" s="150"/>
      <c r="U201" s="150"/>
      <c r="V201" s="150"/>
      <c r="W201" s="150"/>
      <c r="X201" s="150"/>
    </row>
    <row r="202">
      <c r="A202" s="150"/>
      <c r="B202" s="182"/>
      <c r="C202" s="217"/>
      <c r="D202" s="150"/>
      <c r="E202" s="150"/>
      <c r="F202" s="150"/>
      <c r="G202" s="150"/>
      <c r="H202" s="150"/>
      <c r="I202" s="150"/>
      <c r="J202" s="150"/>
      <c r="K202" s="150"/>
      <c r="L202" s="150"/>
      <c r="M202" s="150"/>
      <c r="N202" s="150"/>
      <c r="O202" s="150"/>
      <c r="P202" s="150"/>
      <c r="Q202" s="150"/>
      <c r="R202" s="150"/>
      <c r="S202" s="150"/>
      <c r="T202" s="150"/>
      <c r="U202" s="150"/>
      <c r="V202" s="150"/>
      <c r="W202" s="150"/>
      <c r="X202" s="150"/>
    </row>
    <row r="203">
      <c r="A203" s="150"/>
      <c r="B203" s="182"/>
      <c r="C203" s="217"/>
      <c r="D203" s="150"/>
      <c r="E203" s="150"/>
      <c r="F203" s="150"/>
      <c r="G203" s="150"/>
      <c r="H203" s="150"/>
      <c r="I203" s="150"/>
      <c r="J203" s="150"/>
      <c r="K203" s="150"/>
      <c r="L203" s="150"/>
      <c r="M203" s="150"/>
      <c r="N203" s="150"/>
      <c r="O203" s="150"/>
      <c r="P203" s="150"/>
      <c r="Q203" s="150"/>
      <c r="R203" s="150"/>
      <c r="S203" s="150"/>
      <c r="T203" s="150"/>
      <c r="U203" s="150"/>
      <c r="V203" s="150"/>
      <c r="W203" s="150"/>
      <c r="X203" s="150"/>
    </row>
    <row r="204">
      <c r="A204" s="150"/>
      <c r="B204" s="182"/>
      <c r="C204" s="217"/>
      <c r="D204" s="150"/>
      <c r="E204" s="150"/>
      <c r="F204" s="150"/>
      <c r="G204" s="150"/>
      <c r="H204" s="150"/>
      <c r="I204" s="150"/>
      <c r="J204" s="150"/>
      <c r="K204" s="150"/>
      <c r="L204" s="150"/>
      <c r="M204" s="150"/>
      <c r="N204" s="150"/>
      <c r="O204" s="150"/>
      <c r="P204" s="150"/>
      <c r="Q204" s="150"/>
      <c r="R204" s="150"/>
      <c r="S204" s="150"/>
      <c r="T204" s="150"/>
      <c r="U204" s="150"/>
      <c r="V204" s="150"/>
      <c r="W204" s="150"/>
      <c r="X204" s="150"/>
    </row>
    <row r="205">
      <c r="A205" s="150"/>
      <c r="B205" s="182"/>
      <c r="C205" s="217"/>
      <c r="D205" s="150"/>
      <c r="E205" s="150"/>
      <c r="F205" s="150"/>
      <c r="G205" s="150"/>
      <c r="H205" s="150"/>
      <c r="I205" s="150"/>
      <c r="J205" s="150"/>
      <c r="K205" s="150"/>
      <c r="L205" s="150"/>
      <c r="M205" s="150"/>
      <c r="N205" s="150"/>
      <c r="O205" s="150"/>
      <c r="P205" s="150"/>
      <c r="Q205" s="150"/>
      <c r="R205" s="150"/>
      <c r="S205" s="150"/>
      <c r="T205" s="150"/>
      <c r="U205" s="150"/>
      <c r="V205" s="150"/>
      <c r="W205" s="150"/>
      <c r="X205" s="150"/>
    </row>
    <row r="206">
      <c r="A206" s="150"/>
      <c r="B206" s="182"/>
      <c r="C206" s="217"/>
      <c r="D206" s="150"/>
      <c r="E206" s="150"/>
      <c r="F206" s="150"/>
      <c r="G206" s="150"/>
      <c r="H206" s="150"/>
      <c r="I206" s="150"/>
      <c r="J206" s="150"/>
      <c r="K206" s="150"/>
      <c r="L206" s="150"/>
      <c r="M206" s="150"/>
      <c r="N206" s="150"/>
      <c r="O206" s="150"/>
      <c r="P206" s="150"/>
      <c r="Q206" s="150"/>
      <c r="R206" s="150"/>
      <c r="S206" s="150"/>
      <c r="T206" s="150"/>
      <c r="U206" s="150"/>
      <c r="V206" s="150"/>
      <c r="W206" s="150"/>
      <c r="X206" s="150"/>
    </row>
    <row r="207">
      <c r="A207" s="150"/>
      <c r="B207" s="182"/>
      <c r="C207" s="217"/>
      <c r="D207" s="150"/>
      <c r="E207" s="150"/>
      <c r="F207" s="150"/>
      <c r="G207" s="150"/>
      <c r="H207" s="150"/>
      <c r="I207" s="150"/>
      <c r="J207" s="150"/>
      <c r="K207" s="150"/>
      <c r="L207" s="150"/>
      <c r="M207" s="150"/>
      <c r="N207" s="150"/>
      <c r="O207" s="150"/>
      <c r="P207" s="150"/>
      <c r="Q207" s="150"/>
      <c r="R207" s="150"/>
      <c r="S207" s="150"/>
      <c r="T207" s="150"/>
      <c r="U207" s="150"/>
      <c r="V207" s="150"/>
      <c r="W207" s="150"/>
      <c r="X207" s="150"/>
    </row>
    <row r="208">
      <c r="A208" s="150"/>
      <c r="B208" s="182"/>
      <c r="C208" s="217"/>
      <c r="D208" s="150"/>
      <c r="E208" s="150"/>
      <c r="F208" s="150"/>
      <c r="G208" s="150"/>
      <c r="H208" s="150"/>
      <c r="I208" s="150"/>
      <c r="J208" s="150"/>
      <c r="K208" s="150"/>
      <c r="L208" s="150"/>
      <c r="M208" s="150"/>
      <c r="N208" s="150"/>
      <c r="O208" s="150"/>
      <c r="P208" s="150"/>
      <c r="Q208" s="150"/>
      <c r="R208" s="150"/>
      <c r="S208" s="150"/>
      <c r="T208" s="150"/>
      <c r="U208" s="150"/>
      <c r="V208" s="150"/>
      <c r="W208" s="150"/>
      <c r="X208" s="150"/>
    </row>
    <row r="209">
      <c r="A209" s="150"/>
      <c r="B209" s="182"/>
      <c r="C209" s="217"/>
      <c r="D209" s="150"/>
      <c r="E209" s="150"/>
      <c r="F209" s="150"/>
      <c r="G209" s="150"/>
      <c r="H209" s="150"/>
      <c r="I209" s="150"/>
      <c r="J209" s="150"/>
      <c r="K209" s="150"/>
      <c r="L209" s="150"/>
      <c r="M209" s="150"/>
      <c r="N209" s="150"/>
      <c r="O209" s="150"/>
      <c r="P209" s="150"/>
      <c r="Q209" s="150"/>
      <c r="R209" s="150"/>
      <c r="S209" s="150"/>
      <c r="T209" s="150"/>
      <c r="U209" s="150"/>
      <c r="V209" s="150"/>
      <c r="W209" s="150"/>
      <c r="X209" s="150"/>
    </row>
    <row r="210">
      <c r="A210" s="150"/>
      <c r="B210" s="182"/>
      <c r="C210" s="217"/>
      <c r="D210" s="150"/>
      <c r="E210" s="150"/>
      <c r="F210" s="150"/>
      <c r="G210" s="150"/>
      <c r="H210" s="150"/>
      <c r="I210" s="150"/>
      <c r="J210" s="150"/>
      <c r="K210" s="150"/>
      <c r="L210" s="150"/>
      <c r="M210" s="150"/>
      <c r="N210" s="150"/>
      <c r="O210" s="150"/>
      <c r="P210" s="150"/>
      <c r="Q210" s="150"/>
      <c r="R210" s="150"/>
      <c r="S210" s="150"/>
      <c r="T210" s="150"/>
      <c r="U210" s="150"/>
      <c r="V210" s="150"/>
      <c r="W210" s="150"/>
      <c r="X210" s="150"/>
    </row>
    <row r="211">
      <c r="A211" s="150"/>
      <c r="B211" s="182"/>
      <c r="C211" s="217"/>
      <c r="D211" s="150"/>
      <c r="E211" s="150"/>
      <c r="F211" s="150"/>
      <c r="G211" s="150"/>
      <c r="H211" s="150"/>
      <c r="I211" s="150"/>
      <c r="J211" s="150"/>
      <c r="K211" s="150"/>
      <c r="L211" s="150"/>
      <c r="M211" s="150"/>
      <c r="N211" s="150"/>
      <c r="O211" s="150"/>
      <c r="P211" s="150"/>
      <c r="Q211" s="150"/>
      <c r="R211" s="150"/>
      <c r="S211" s="150"/>
      <c r="T211" s="150"/>
      <c r="U211" s="150"/>
      <c r="V211" s="150"/>
      <c r="W211" s="150"/>
      <c r="X211" s="150"/>
    </row>
    <row r="212">
      <c r="A212" s="150"/>
      <c r="B212" s="182"/>
      <c r="C212" s="217"/>
      <c r="D212" s="150"/>
      <c r="E212" s="150"/>
      <c r="F212" s="150"/>
      <c r="G212" s="150"/>
      <c r="H212" s="150"/>
      <c r="I212" s="150"/>
      <c r="J212" s="150"/>
      <c r="K212" s="150"/>
      <c r="L212" s="150"/>
      <c r="M212" s="150"/>
      <c r="N212" s="150"/>
      <c r="O212" s="150"/>
      <c r="P212" s="150"/>
      <c r="Q212" s="150"/>
      <c r="R212" s="150"/>
      <c r="S212" s="150"/>
      <c r="T212" s="150"/>
      <c r="U212" s="150"/>
      <c r="V212" s="150"/>
      <c r="W212" s="150"/>
      <c r="X212" s="150"/>
    </row>
    <row r="213">
      <c r="A213" s="150"/>
      <c r="B213" s="182"/>
      <c r="C213" s="217"/>
      <c r="D213" s="150"/>
      <c r="E213" s="150"/>
      <c r="F213" s="150"/>
      <c r="G213" s="150"/>
      <c r="H213" s="150"/>
      <c r="I213" s="150"/>
      <c r="J213" s="150"/>
      <c r="K213" s="150"/>
      <c r="L213" s="150"/>
      <c r="M213" s="150"/>
      <c r="N213" s="150"/>
      <c r="O213" s="150"/>
      <c r="P213" s="150"/>
      <c r="Q213" s="150"/>
      <c r="R213" s="150"/>
      <c r="S213" s="150"/>
      <c r="T213" s="150"/>
      <c r="U213" s="150"/>
      <c r="V213" s="150"/>
      <c r="W213" s="150"/>
      <c r="X213" s="150"/>
    </row>
    <row r="214">
      <c r="A214" s="150"/>
      <c r="B214" s="182"/>
      <c r="C214" s="217"/>
      <c r="D214" s="150"/>
      <c r="E214" s="150"/>
      <c r="F214" s="150"/>
      <c r="G214" s="150"/>
      <c r="H214" s="150"/>
      <c r="I214" s="150"/>
      <c r="J214" s="150"/>
      <c r="K214" s="150"/>
      <c r="L214" s="150"/>
      <c r="M214" s="150"/>
      <c r="N214" s="150"/>
      <c r="O214" s="150"/>
      <c r="P214" s="150"/>
      <c r="Q214" s="150"/>
      <c r="R214" s="150"/>
      <c r="S214" s="150"/>
      <c r="T214" s="150"/>
      <c r="U214" s="150"/>
      <c r="V214" s="150"/>
      <c r="W214" s="150"/>
      <c r="X214" s="150"/>
    </row>
    <row r="215">
      <c r="A215" s="150"/>
      <c r="B215" s="182"/>
      <c r="C215" s="217"/>
      <c r="D215" s="150"/>
      <c r="E215" s="150"/>
      <c r="F215" s="150"/>
      <c r="G215" s="150"/>
      <c r="H215" s="150"/>
      <c r="I215" s="150"/>
      <c r="J215" s="150"/>
      <c r="K215" s="150"/>
      <c r="L215" s="150"/>
      <c r="M215" s="150"/>
      <c r="N215" s="150"/>
      <c r="O215" s="150"/>
      <c r="P215" s="150"/>
      <c r="Q215" s="150"/>
      <c r="R215" s="150"/>
      <c r="S215" s="150"/>
      <c r="T215" s="150"/>
      <c r="U215" s="150"/>
      <c r="V215" s="150"/>
      <c r="W215" s="150"/>
      <c r="X215" s="150"/>
    </row>
    <row r="216">
      <c r="A216" s="150"/>
      <c r="B216" s="182"/>
      <c r="C216" s="217"/>
      <c r="D216" s="150"/>
      <c r="E216" s="150"/>
      <c r="F216" s="150"/>
      <c r="G216" s="150"/>
      <c r="H216" s="150"/>
      <c r="I216" s="150"/>
      <c r="J216" s="150"/>
      <c r="K216" s="150"/>
      <c r="L216" s="150"/>
      <c r="M216" s="150"/>
      <c r="N216" s="150"/>
      <c r="O216" s="150"/>
      <c r="P216" s="150"/>
      <c r="Q216" s="150"/>
      <c r="R216" s="150"/>
      <c r="S216" s="150"/>
      <c r="T216" s="150"/>
      <c r="U216" s="150"/>
      <c r="V216" s="150"/>
      <c r="W216" s="150"/>
      <c r="X216" s="150"/>
    </row>
    <row r="217">
      <c r="A217" s="150"/>
      <c r="B217" s="182"/>
      <c r="C217" s="217"/>
      <c r="D217" s="150"/>
      <c r="E217" s="150"/>
      <c r="F217" s="150"/>
      <c r="G217" s="150"/>
      <c r="H217" s="150"/>
      <c r="I217" s="150"/>
      <c r="J217" s="150"/>
      <c r="K217" s="150"/>
      <c r="L217" s="150"/>
      <c r="M217" s="150"/>
      <c r="N217" s="150"/>
      <c r="O217" s="150"/>
      <c r="P217" s="150"/>
      <c r="Q217" s="150"/>
      <c r="R217" s="150"/>
      <c r="S217" s="150"/>
      <c r="T217" s="150"/>
      <c r="U217" s="150"/>
      <c r="V217" s="150"/>
      <c r="W217" s="150"/>
      <c r="X217" s="150"/>
    </row>
    <row r="218">
      <c r="A218" s="150"/>
      <c r="B218" s="182"/>
      <c r="C218" s="217"/>
      <c r="D218" s="150"/>
      <c r="E218" s="150"/>
      <c r="F218" s="150"/>
      <c r="G218" s="150"/>
      <c r="H218" s="150"/>
      <c r="I218" s="150"/>
      <c r="J218" s="150"/>
      <c r="K218" s="150"/>
      <c r="L218" s="150"/>
      <c r="M218" s="150"/>
      <c r="N218" s="150"/>
      <c r="O218" s="150"/>
      <c r="P218" s="150"/>
      <c r="Q218" s="150"/>
      <c r="R218" s="150"/>
      <c r="S218" s="150"/>
      <c r="T218" s="150"/>
      <c r="U218" s="150"/>
      <c r="V218" s="150"/>
      <c r="W218" s="150"/>
      <c r="X218" s="150"/>
    </row>
    <row r="219">
      <c r="A219" s="150"/>
      <c r="B219" s="182"/>
      <c r="C219" s="217"/>
      <c r="D219" s="150"/>
      <c r="E219" s="150"/>
      <c r="F219" s="150"/>
      <c r="G219" s="150"/>
      <c r="H219" s="150"/>
      <c r="I219" s="150"/>
      <c r="J219" s="150"/>
      <c r="K219" s="150"/>
      <c r="L219" s="150"/>
      <c r="M219" s="150"/>
      <c r="N219" s="150"/>
      <c r="O219" s="150"/>
      <c r="P219" s="150"/>
      <c r="Q219" s="150"/>
      <c r="R219" s="150"/>
      <c r="S219" s="150"/>
      <c r="T219" s="150"/>
      <c r="U219" s="150"/>
      <c r="V219" s="150"/>
      <c r="W219" s="150"/>
      <c r="X219" s="150"/>
    </row>
    <row r="220">
      <c r="A220" s="150"/>
      <c r="B220" s="182"/>
      <c r="C220" s="217"/>
      <c r="D220" s="150"/>
      <c r="E220" s="150"/>
      <c r="F220" s="150"/>
      <c r="G220" s="150"/>
      <c r="H220" s="150"/>
      <c r="I220" s="150"/>
      <c r="J220" s="150"/>
      <c r="K220" s="150"/>
      <c r="L220" s="150"/>
      <c r="M220" s="150"/>
      <c r="N220" s="150"/>
      <c r="O220" s="150"/>
      <c r="P220" s="150"/>
      <c r="Q220" s="150"/>
      <c r="R220" s="150"/>
      <c r="S220" s="150"/>
      <c r="T220" s="150"/>
      <c r="U220" s="150"/>
      <c r="V220" s="150"/>
      <c r="W220" s="150"/>
      <c r="X220" s="150"/>
    </row>
    <row r="221">
      <c r="A221" s="150"/>
      <c r="B221" s="182"/>
      <c r="C221" s="217"/>
      <c r="D221" s="150"/>
      <c r="E221" s="150"/>
      <c r="F221" s="150"/>
      <c r="G221" s="150"/>
      <c r="H221" s="150"/>
      <c r="I221" s="150"/>
      <c r="J221" s="150"/>
      <c r="K221" s="150"/>
      <c r="L221" s="150"/>
      <c r="M221" s="150"/>
      <c r="N221" s="150"/>
      <c r="O221" s="150"/>
      <c r="P221" s="150"/>
      <c r="Q221" s="150"/>
      <c r="R221" s="150"/>
      <c r="S221" s="150"/>
      <c r="T221" s="150"/>
      <c r="U221" s="150"/>
      <c r="V221" s="150"/>
      <c r="W221" s="150"/>
      <c r="X221" s="150"/>
    </row>
    <row r="222">
      <c r="A222" s="150"/>
      <c r="B222" s="182"/>
      <c r="C222" s="217"/>
      <c r="D222" s="150"/>
      <c r="E222" s="150"/>
      <c r="F222" s="150"/>
      <c r="G222" s="150"/>
      <c r="H222" s="150"/>
      <c r="I222" s="150"/>
      <c r="J222" s="150"/>
      <c r="K222" s="150"/>
      <c r="L222" s="150"/>
      <c r="M222" s="150"/>
      <c r="N222" s="150"/>
      <c r="O222" s="150"/>
      <c r="P222" s="150"/>
      <c r="Q222" s="150"/>
      <c r="R222" s="150"/>
      <c r="S222" s="150"/>
      <c r="T222" s="150"/>
      <c r="U222" s="150"/>
      <c r="V222" s="150"/>
      <c r="W222" s="150"/>
      <c r="X222" s="150"/>
    </row>
    <row r="223">
      <c r="A223" s="150"/>
      <c r="B223" s="182"/>
      <c r="C223" s="217"/>
      <c r="D223" s="150"/>
      <c r="E223" s="150"/>
      <c r="F223" s="150"/>
      <c r="G223" s="150"/>
      <c r="H223" s="150"/>
      <c r="I223" s="150"/>
      <c r="J223" s="150"/>
      <c r="K223" s="150"/>
      <c r="L223" s="150"/>
      <c r="M223" s="150"/>
      <c r="N223" s="150"/>
      <c r="O223" s="150"/>
      <c r="P223" s="150"/>
      <c r="Q223" s="150"/>
      <c r="R223" s="150"/>
      <c r="S223" s="150"/>
      <c r="T223" s="150"/>
      <c r="U223" s="150"/>
      <c r="V223" s="150"/>
      <c r="W223" s="150"/>
      <c r="X223" s="150"/>
    </row>
    <row r="224">
      <c r="A224" s="150"/>
      <c r="B224" s="182"/>
      <c r="C224" s="217"/>
      <c r="D224" s="150"/>
      <c r="E224" s="150"/>
      <c r="F224" s="150"/>
      <c r="G224" s="150"/>
      <c r="H224" s="150"/>
      <c r="I224" s="150"/>
      <c r="J224" s="150"/>
      <c r="K224" s="150"/>
      <c r="L224" s="150"/>
      <c r="M224" s="150"/>
      <c r="N224" s="150"/>
      <c r="O224" s="150"/>
      <c r="P224" s="150"/>
      <c r="Q224" s="150"/>
      <c r="R224" s="150"/>
      <c r="S224" s="150"/>
      <c r="T224" s="150"/>
      <c r="U224" s="150"/>
      <c r="V224" s="150"/>
      <c r="W224" s="150"/>
      <c r="X224" s="150"/>
    </row>
    <row r="225">
      <c r="A225" s="150"/>
      <c r="B225" s="182"/>
      <c r="C225" s="217"/>
      <c r="D225" s="150"/>
      <c r="E225" s="150"/>
      <c r="F225" s="150"/>
      <c r="G225" s="150"/>
      <c r="H225" s="150"/>
      <c r="I225" s="150"/>
      <c r="J225" s="150"/>
      <c r="K225" s="150"/>
      <c r="L225" s="150"/>
      <c r="M225" s="150"/>
      <c r="N225" s="150"/>
      <c r="O225" s="150"/>
      <c r="P225" s="150"/>
      <c r="Q225" s="150"/>
      <c r="R225" s="150"/>
      <c r="S225" s="150"/>
      <c r="T225" s="150"/>
      <c r="U225" s="150"/>
      <c r="V225" s="150"/>
      <c r="W225" s="150"/>
      <c r="X225" s="150"/>
    </row>
    <row r="226">
      <c r="A226" s="150"/>
      <c r="B226" s="182"/>
      <c r="C226" s="217"/>
      <c r="D226" s="150"/>
      <c r="E226" s="150"/>
      <c r="F226" s="150"/>
      <c r="G226" s="150"/>
      <c r="H226" s="150"/>
      <c r="I226" s="150"/>
      <c r="J226" s="150"/>
      <c r="K226" s="150"/>
      <c r="L226" s="150"/>
      <c r="M226" s="150"/>
      <c r="N226" s="150"/>
      <c r="O226" s="150"/>
      <c r="P226" s="150"/>
      <c r="Q226" s="150"/>
      <c r="R226" s="150"/>
      <c r="S226" s="150"/>
      <c r="T226" s="150"/>
      <c r="U226" s="150"/>
      <c r="V226" s="150"/>
      <c r="W226" s="150"/>
      <c r="X226" s="150"/>
    </row>
    <row r="227">
      <c r="A227" s="150"/>
      <c r="B227" s="182"/>
      <c r="C227" s="217"/>
      <c r="D227" s="150"/>
      <c r="E227" s="150"/>
      <c r="F227" s="150"/>
      <c r="G227" s="150"/>
      <c r="H227" s="150"/>
      <c r="I227" s="150"/>
      <c r="J227" s="150"/>
      <c r="K227" s="150"/>
      <c r="L227" s="150"/>
      <c r="M227" s="150"/>
      <c r="N227" s="150"/>
      <c r="O227" s="150"/>
      <c r="P227" s="150"/>
      <c r="Q227" s="150"/>
      <c r="R227" s="150"/>
      <c r="S227" s="150"/>
      <c r="T227" s="150"/>
      <c r="U227" s="150"/>
      <c r="V227" s="150"/>
      <c r="W227" s="150"/>
      <c r="X227" s="150"/>
    </row>
    <row r="228">
      <c r="A228" s="150"/>
      <c r="B228" s="182"/>
      <c r="C228" s="217"/>
      <c r="D228" s="150"/>
      <c r="E228" s="150"/>
      <c r="F228" s="150"/>
      <c r="G228" s="150"/>
      <c r="H228" s="150"/>
      <c r="I228" s="150"/>
      <c r="J228" s="150"/>
      <c r="K228" s="150"/>
      <c r="L228" s="150"/>
      <c r="M228" s="150"/>
      <c r="N228" s="150"/>
      <c r="O228" s="150"/>
      <c r="P228" s="150"/>
      <c r="Q228" s="150"/>
      <c r="R228" s="150"/>
      <c r="S228" s="150"/>
      <c r="T228" s="150"/>
      <c r="U228" s="150"/>
      <c r="V228" s="150"/>
      <c r="W228" s="150"/>
      <c r="X228" s="150"/>
    </row>
    <row r="229">
      <c r="A229" s="150"/>
      <c r="B229" s="182"/>
      <c r="C229" s="217"/>
      <c r="D229" s="150"/>
      <c r="E229" s="150"/>
      <c r="F229" s="150"/>
      <c r="G229" s="150"/>
      <c r="H229" s="150"/>
      <c r="I229" s="150"/>
      <c r="J229" s="150"/>
      <c r="K229" s="150"/>
      <c r="L229" s="150"/>
      <c r="M229" s="150"/>
      <c r="N229" s="150"/>
      <c r="O229" s="150"/>
      <c r="P229" s="150"/>
      <c r="Q229" s="150"/>
      <c r="R229" s="150"/>
      <c r="S229" s="150"/>
      <c r="T229" s="150"/>
      <c r="U229" s="150"/>
      <c r="V229" s="150"/>
      <c r="W229" s="150"/>
      <c r="X229" s="150"/>
    </row>
    <row r="230">
      <c r="A230" s="150"/>
      <c r="B230" s="182"/>
      <c r="C230" s="217"/>
      <c r="D230" s="150"/>
      <c r="E230" s="150"/>
      <c r="F230" s="150"/>
      <c r="G230" s="150"/>
      <c r="H230" s="150"/>
      <c r="I230" s="150"/>
      <c r="J230" s="150"/>
      <c r="K230" s="150"/>
      <c r="L230" s="150"/>
      <c r="M230" s="150"/>
      <c r="N230" s="150"/>
      <c r="O230" s="150"/>
      <c r="P230" s="150"/>
      <c r="Q230" s="150"/>
      <c r="R230" s="150"/>
      <c r="S230" s="150"/>
      <c r="T230" s="150"/>
      <c r="U230" s="150"/>
      <c r="V230" s="150"/>
      <c r="W230" s="150"/>
      <c r="X230" s="150"/>
    </row>
    <row r="231">
      <c r="A231" s="150"/>
      <c r="B231" s="182"/>
      <c r="C231" s="217"/>
      <c r="D231" s="150"/>
      <c r="E231" s="150"/>
      <c r="F231" s="150"/>
      <c r="G231" s="150"/>
      <c r="H231" s="150"/>
      <c r="I231" s="150"/>
      <c r="J231" s="150"/>
      <c r="K231" s="150"/>
      <c r="L231" s="150"/>
      <c r="M231" s="150"/>
      <c r="N231" s="150"/>
      <c r="O231" s="150"/>
      <c r="P231" s="150"/>
      <c r="Q231" s="150"/>
      <c r="R231" s="150"/>
      <c r="S231" s="150"/>
      <c r="T231" s="150"/>
      <c r="U231" s="150"/>
      <c r="V231" s="150"/>
      <c r="W231" s="150"/>
      <c r="X231" s="150"/>
    </row>
    <row r="232">
      <c r="A232" s="150"/>
      <c r="B232" s="182"/>
      <c r="C232" s="217"/>
      <c r="D232" s="150"/>
      <c r="E232" s="150"/>
      <c r="F232" s="150"/>
      <c r="G232" s="150"/>
      <c r="H232" s="150"/>
      <c r="I232" s="150"/>
      <c r="J232" s="150"/>
      <c r="K232" s="150"/>
      <c r="L232" s="150"/>
      <c r="M232" s="150"/>
      <c r="N232" s="150"/>
      <c r="O232" s="150"/>
      <c r="P232" s="150"/>
      <c r="Q232" s="150"/>
      <c r="R232" s="150"/>
      <c r="S232" s="150"/>
      <c r="T232" s="150"/>
      <c r="U232" s="150"/>
      <c r="V232" s="150"/>
      <c r="W232" s="150"/>
      <c r="X232" s="150"/>
    </row>
    <row r="233">
      <c r="A233" s="150"/>
      <c r="B233" s="182"/>
      <c r="C233" s="217"/>
      <c r="D233" s="150"/>
      <c r="E233" s="150"/>
      <c r="F233" s="150"/>
      <c r="G233" s="150"/>
      <c r="H233" s="150"/>
      <c r="I233" s="150"/>
      <c r="J233" s="150"/>
      <c r="K233" s="150"/>
      <c r="L233" s="150"/>
      <c r="M233" s="150"/>
      <c r="N233" s="150"/>
      <c r="O233" s="150"/>
      <c r="P233" s="150"/>
      <c r="Q233" s="150"/>
      <c r="R233" s="150"/>
      <c r="S233" s="150"/>
      <c r="T233" s="150"/>
      <c r="U233" s="150"/>
      <c r="V233" s="150"/>
      <c r="W233" s="150"/>
      <c r="X233" s="150"/>
    </row>
    <row r="234">
      <c r="A234" s="150"/>
      <c r="B234" s="182"/>
      <c r="C234" s="217"/>
      <c r="D234" s="150"/>
      <c r="E234" s="150"/>
      <c r="F234" s="150"/>
      <c r="G234" s="150"/>
      <c r="H234" s="150"/>
      <c r="I234" s="150"/>
      <c r="J234" s="150"/>
      <c r="K234" s="150"/>
      <c r="L234" s="150"/>
      <c r="M234" s="150"/>
      <c r="N234" s="150"/>
      <c r="O234" s="150"/>
      <c r="P234" s="150"/>
      <c r="Q234" s="150"/>
      <c r="R234" s="150"/>
      <c r="S234" s="150"/>
      <c r="T234" s="150"/>
      <c r="U234" s="150"/>
      <c r="V234" s="150"/>
      <c r="W234" s="150"/>
      <c r="X234" s="150"/>
    </row>
    <row r="235">
      <c r="A235" s="150"/>
      <c r="B235" s="182"/>
      <c r="C235" s="217"/>
      <c r="D235" s="150"/>
      <c r="E235" s="150"/>
      <c r="F235" s="150"/>
      <c r="G235" s="150"/>
      <c r="H235" s="150"/>
      <c r="I235" s="150"/>
      <c r="J235" s="150"/>
      <c r="K235" s="150"/>
      <c r="L235" s="150"/>
      <c r="M235" s="150"/>
      <c r="N235" s="150"/>
      <c r="O235" s="150"/>
      <c r="P235" s="150"/>
      <c r="Q235" s="150"/>
      <c r="R235" s="150"/>
      <c r="S235" s="150"/>
      <c r="T235" s="150"/>
      <c r="U235" s="150"/>
      <c r="V235" s="150"/>
      <c r="W235" s="150"/>
      <c r="X235" s="150"/>
    </row>
    <row r="236">
      <c r="A236" s="150"/>
      <c r="B236" s="182"/>
      <c r="C236" s="217"/>
      <c r="D236" s="150"/>
      <c r="E236" s="150"/>
      <c r="F236" s="150"/>
      <c r="G236" s="150"/>
      <c r="H236" s="150"/>
      <c r="I236" s="150"/>
      <c r="J236" s="150"/>
      <c r="K236" s="150"/>
      <c r="L236" s="150"/>
      <c r="M236" s="150"/>
      <c r="N236" s="150"/>
      <c r="O236" s="150"/>
      <c r="P236" s="150"/>
      <c r="Q236" s="150"/>
      <c r="R236" s="150"/>
      <c r="S236" s="150"/>
      <c r="T236" s="150"/>
      <c r="U236" s="150"/>
      <c r="V236" s="150"/>
      <c r="W236" s="150"/>
      <c r="X236" s="150"/>
    </row>
    <row r="237">
      <c r="A237" s="150"/>
      <c r="B237" s="182"/>
      <c r="C237" s="217"/>
      <c r="D237" s="150"/>
      <c r="E237" s="150"/>
      <c r="F237" s="150"/>
      <c r="G237" s="150"/>
      <c r="H237" s="150"/>
      <c r="I237" s="150"/>
      <c r="J237" s="150"/>
      <c r="K237" s="150"/>
      <c r="L237" s="150"/>
      <c r="M237" s="150"/>
      <c r="N237" s="150"/>
      <c r="O237" s="150"/>
      <c r="P237" s="150"/>
      <c r="Q237" s="150"/>
      <c r="R237" s="150"/>
      <c r="S237" s="150"/>
      <c r="T237" s="150"/>
      <c r="U237" s="150"/>
      <c r="V237" s="150"/>
      <c r="W237" s="150"/>
      <c r="X237" s="150"/>
    </row>
    <row r="238">
      <c r="A238" s="150"/>
      <c r="B238" s="182"/>
      <c r="C238" s="217"/>
      <c r="D238" s="150"/>
      <c r="E238" s="150"/>
      <c r="F238" s="150"/>
      <c r="G238" s="150"/>
      <c r="H238" s="150"/>
      <c r="I238" s="150"/>
      <c r="J238" s="150"/>
      <c r="K238" s="150"/>
      <c r="L238" s="150"/>
      <c r="M238" s="150"/>
      <c r="N238" s="150"/>
      <c r="O238" s="150"/>
      <c r="P238" s="150"/>
      <c r="Q238" s="150"/>
      <c r="R238" s="150"/>
      <c r="S238" s="150"/>
      <c r="T238" s="150"/>
      <c r="U238" s="150"/>
      <c r="V238" s="150"/>
      <c r="W238" s="150"/>
      <c r="X238" s="150"/>
    </row>
    <row r="239">
      <c r="A239" s="150"/>
      <c r="B239" s="182"/>
      <c r="C239" s="217"/>
      <c r="D239" s="150"/>
      <c r="E239" s="150"/>
      <c r="F239" s="150"/>
      <c r="G239" s="150"/>
      <c r="H239" s="150"/>
      <c r="I239" s="150"/>
      <c r="J239" s="150"/>
      <c r="K239" s="150"/>
      <c r="L239" s="150"/>
      <c r="M239" s="150"/>
      <c r="N239" s="150"/>
      <c r="O239" s="150"/>
      <c r="P239" s="150"/>
      <c r="Q239" s="150"/>
      <c r="R239" s="150"/>
      <c r="S239" s="150"/>
      <c r="T239" s="150"/>
      <c r="U239" s="150"/>
      <c r="V239" s="150"/>
      <c r="W239" s="150"/>
      <c r="X239" s="150"/>
    </row>
    <row r="240">
      <c r="A240" s="150"/>
      <c r="B240" s="182"/>
      <c r="C240" s="217"/>
      <c r="D240" s="150"/>
      <c r="E240" s="150"/>
      <c r="F240" s="150"/>
      <c r="G240" s="150"/>
      <c r="H240" s="150"/>
      <c r="I240" s="150"/>
      <c r="J240" s="150"/>
      <c r="K240" s="150"/>
      <c r="L240" s="150"/>
      <c r="M240" s="150"/>
      <c r="N240" s="150"/>
      <c r="O240" s="150"/>
      <c r="P240" s="150"/>
      <c r="Q240" s="150"/>
      <c r="R240" s="150"/>
      <c r="S240" s="150"/>
      <c r="T240" s="150"/>
      <c r="U240" s="150"/>
      <c r="V240" s="150"/>
      <c r="W240" s="150"/>
      <c r="X240" s="150"/>
    </row>
    <row r="241">
      <c r="A241" s="150"/>
      <c r="B241" s="182"/>
      <c r="C241" s="217"/>
      <c r="D241" s="150"/>
      <c r="E241" s="150"/>
      <c r="F241" s="150"/>
      <c r="G241" s="150"/>
      <c r="H241" s="150"/>
      <c r="I241" s="150"/>
      <c r="J241" s="150"/>
      <c r="K241" s="150"/>
      <c r="L241" s="150"/>
      <c r="M241" s="150"/>
      <c r="N241" s="150"/>
      <c r="O241" s="150"/>
      <c r="P241" s="150"/>
      <c r="Q241" s="150"/>
      <c r="R241" s="150"/>
      <c r="S241" s="150"/>
      <c r="T241" s="150"/>
      <c r="U241" s="150"/>
      <c r="V241" s="150"/>
      <c r="W241" s="150"/>
      <c r="X241" s="150"/>
    </row>
    <row r="242">
      <c r="A242" s="150"/>
      <c r="B242" s="182"/>
      <c r="C242" s="217"/>
      <c r="D242" s="150"/>
      <c r="E242" s="150"/>
      <c r="F242" s="150"/>
      <c r="G242" s="150"/>
      <c r="H242" s="150"/>
      <c r="I242" s="150"/>
      <c r="J242" s="150"/>
      <c r="K242" s="150"/>
      <c r="L242" s="150"/>
      <c r="M242" s="150"/>
      <c r="N242" s="150"/>
      <c r="O242" s="150"/>
      <c r="P242" s="150"/>
      <c r="Q242" s="150"/>
      <c r="R242" s="150"/>
      <c r="S242" s="150"/>
      <c r="T242" s="150"/>
      <c r="U242" s="150"/>
      <c r="V242" s="150"/>
      <c r="W242" s="150"/>
      <c r="X242" s="150"/>
    </row>
    <row r="243">
      <c r="A243" s="150"/>
      <c r="B243" s="182"/>
      <c r="C243" s="217"/>
      <c r="D243" s="150"/>
      <c r="E243" s="150"/>
      <c r="F243" s="150"/>
      <c r="G243" s="150"/>
      <c r="H243" s="150"/>
      <c r="I243" s="150"/>
      <c r="J243" s="150"/>
      <c r="K243" s="150"/>
      <c r="L243" s="150"/>
      <c r="M243" s="150"/>
      <c r="N243" s="150"/>
      <c r="O243" s="150"/>
      <c r="P243" s="150"/>
      <c r="Q243" s="150"/>
      <c r="R243" s="150"/>
      <c r="S243" s="150"/>
      <c r="T243" s="150"/>
      <c r="U243" s="150"/>
      <c r="V243" s="150"/>
      <c r="W243" s="150"/>
      <c r="X243" s="150"/>
    </row>
    <row r="244">
      <c r="A244" s="150"/>
      <c r="B244" s="182"/>
      <c r="C244" s="217"/>
      <c r="D244" s="150"/>
      <c r="E244" s="150"/>
      <c r="F244" s="150"/>
      <c r="G244" s="150"/>
      <c r="H244" s="150"/>
      <c r="I244" s="150"/>
      <c r="J244" s="150"/>
      <c r="K244" s="150"/>
      <c r="L244" s="150"/>
      <c r="M244" s="150"/>
      <c r="N244" s="150"/>
      <c r="O244" s="150"/>
      <c r="P244" s="150"/>
      <c r="Q244" s="150"/>
      <c r="R244" s="150"/>
      <c r="S244" s="150"/>
      <c r="T244" s="150"/>
      <c r="U244" s="150"/>
      <c r="V244" s="150"/>
      <c r="W244" s="150"/>
      <c r="X244" s="150"/>
    </row>
    <row r="245">
      <c r="A245" s="150"/>
      <c r="B245" s="182"/>
      <c r="C245" s="217"/>
      <c r="D245" s="150"/>
      <c r="E245" s="150"/>
      <c r="F245" s="150"/>
      <c r="G245" s="150"/>
      <c r="H245" s="150"/>
      <c r="I245" s="150"/>
      <c r="J245" s="150"/>
      <c r="K245" s="150"/>
      <c r="L245" s="150"/>
      <c r="M245" s="150"/>
      <c r="N245" s="150"/>
      <c r="O245" s="150"/>
      <c r="P245" s="150"/>
      <c r="Q245" s="150"/>
      <c r="R245" s="150"/>
      <c r="S245" s="150"/>
      <c r="T245" s="150"/>
      <c r="U245" s="150"/>
      <c r="V245" s="150"/>
      <c r="W245" s="150"/>
      <c r="X245" s="150"/>
    </row>
    <row r="246">
      <c r="A246" s="150"/>
      <c r="B246" s="182"/>
      <c r="C246" s="217"/>
      <c r="D246" s="150"/>
      <c r="E246" s="150"/>
      <c r="F246" s="150"/>
      <c r="G246" s="150"/>
      <c r="H246" s="150"/>
      <c r="I246" s="150"/>
      <c r="J246" s="150"/>
      <c r="K246" s="150"/>
      <c r="L246" s="150"/>
      <c r="M246" s="150"/>
      <c r="N246" s="150"/>
      <c r="O246" s="150"/>
      <c r="P246" s="150"/>
      <c r="Q246" s="150"/>
      <c r="R246" s="150"/>
      <c r="S246" s="150"/>
      <c r="T246" s="150"/>
      <c r="U246" s="150"/>
      <c r="V246" s="150"/>
      <c r="W246" s="150"/>
      <c r="X246" s="150"/>
    </row>
    <row r="247">
      <c r="A247" s="150"/>
      <c r="B247" s="182"/>
      <c r="C247" s="217"/>
      <c r="D247" s="150"/>
      <c r="E247" s="150"/>
      <c r="F247" s="150"/>
      <c r="G247" s="150"/>
      <c r="H247" s="150"/>
      <c r="I247" s="150"/>
      <c r="J247" s="150"/>
      <c r="K247" s="150"/>
      <c r="L247" s="150"/>
      <c r="M247" s="150"/>
      <c r="N247" s="150"/>
      <c r="O247" s="150"/>
      <c r="P247" s="150"/>
      <c r="Q247" s="150"/>
      <c r="R247" s="150"/>
      <c r="S247" s="150"/>
      <c r="T247" s="150"/>
      <c r="U247" s="150"/>
      <c r="V247" s="150"/>
      <c r="W247" s="150"/>
      <c r="X247" s="150"/>
    </row>
    <row r="248">
      <c r="A248" s="150"/>
      <c r="B248" s="182"/>
      <c r="C248" s="217"/>
      <c r="D248" s="150"/>
      <c r="E248" s="150"/>
      <c r="F248" s="150"/>
      <c r="G248" s="150"/>
      <c r="H248" s="150"/>
      <c r="I248" s="150"/>
      <c r="J248" s="150"/>
      <c r="K248" s="150"/>
      <c r="L248" s="150"/>
      <c r="M248" s="150"/>
      <c r="N248" s="150"/>
      <c r="O248" s="150"/>
      <c r="P248" s="150"/>
      <c r="Q248" s="150"/>
      <c r="R248" s="150"/>
      <c r="S248" s="150"/>
      <c r="T248" s="150"/>
      <c r="U248" s="150"/>
      <c r="V248" s="150"/>
      <c r="W248" s="150"/>
      <c r="X248" s="150"/>
    </row>
    <row r="249">
      <c r="A249" s="150"/>
      <c r="B249" s="182"/>
      <c r="C249" s="217"/>
      <c r="D249" s="150"/>
      <c r="E249" s="150"/>
      <c r="F249" s="150"/>
      <c r="G249" s="150"/>
      <c r="H249" s="150"/>
      <c r="I249" s="150"/>
      <c r="J249" s="150"/>
      <c r="K249" s="150"/>
      <c r="L249" s="150"/>
      <c r="M249" s="150"/>
      <c r="N249" s="150"/>
      <c r="O249" s="150"/>
      <c r="P249" s="150"/>
      <c r="Q249" s="150"/>
      <c r="R249" s="150"/>
      <c r="S249" s="150"/>
      <c r="T249" s="150"/>
      <c r="U249" s="150"/>
      <c r="V249" s="150"/>
      <c r="W249" s="150"/>
      <c r="X249" s="150"/>
    </row>
    <row r="250">
      <c r="A250" s="150"/>
      <c r="B250" s="182"/>
      <c r="C250" s="217"/>
      <c r="D250" s="150"/>
      <c r="E250" s="150"/>
      <c r="F250" s="150"/>
      <c r="G250" s="150"/>
      <c r="H250" s="150"/>
      <c r="I250" s="150"/>
      <c r="J250" s="150"/>
      <c r="K250" s="150"/>
      <c r="L250" s="150"/>
      <c r="M250" s="150"/>
      <c r="N250" s="150"/>
      <c r="O250" s="150"/>
      <c r="P250" s="150"/>
      <c r="Q250" s="150"/>
      <c r="R250" s="150"/>
      <c r="S250" s="150"/>
      <c r="T250" s="150"/>
      <c r="U250" s="150"/>
      <c r="V250" s="150"/>
      <c r="W250" s="150"/>
      <c r="X250" s="150"/>
    </row>
    <row r="251">
      <c r="A251" s="150"/>
      <c r="B251" s="182"/>
      <c r="C251" s="217"/>
      <c r="D251" s="150"/>
      <c r="E251" s="150"/>
      <c r="F251" s="150"/>
      <c r="G251" s="150"/>
      <c r="H251" s="150"/>
      <c r="I251" s="150"/>
      <c r="J251" s="150"/>
      <c r="K251" s="150"/>
      <c r="L251" s="150"/>
      <c r="M251" s="150"/>
      <c r="N251" s="150"/>
      <c r="O251" s="150"/>
      <c r="P251" s="150"/>
      <c r="Q251" s="150"/>
      <c r="R251" s="150"/>
      <c r="S251" s="150"/>
      <c r="T251" s="150"/>
      <c r="U251" s="150"/>
      <c r="V251" s="150"/>
      <c r="W251" s="150"/>
      <c r="X251" s="150"/>
    </row>
    <row r="252">
      <c r="A252" s="150"/>
      <c r="B252" s="182"/>
      <c r="C252" s="217"/>
      <c r="D252" s="150"/>
      <c r="E252" s="150"/>
      <c r="F252" s="150"/>
      <c r="G252" s="150"/>
      <c r="H252" s="150"/>
      <c r="I252" s="150"/>
      <c r="J252" s="150"/>
      <c r="K252" s="150"/>
      <c r="L252" s="150"/>
      <c r="M252" s="150"/>
      <c r="N252" s="150"/>
      <c r="O252" s="150"/>
      <c r="P252" s="150"/>
      <c r="Q252" s="150"/>
      <c r="R252" s="150"/>
      <c r="S252" s="150"/>
      <c r="T252" s="150"/>
      <c r="U252" s="150"/>
      <c r="V252" s="150"/>
      <c r="W252" s="150"/>
      <c r="X252" s="150"/>
    </row>
    <row r="253">
      <c r="A253" s="150"/>
      <c r="B253" s="182"/>
      <c r="C253" s="217"/>
      <c r="D253" s="150"/>
      <c r="E253" s="150"/>
      <c r="F253" s="150"/>
      <c r="G253" s="150"/>
      <c r="H253" s="150"/>
      <c r="I253" s="150"/>
      <c r="J253" s="150"/>
      <c r="K253" s="150"/>
      <c r="L253" s="150"/>
      <c r="M253" s="150"/>
      <c r="N253" s="150"/>
      <c r="O253" s="150"/>
      <c r="P253" s="150"/>
      <c r="Q253" s="150"/>
      <c r="R253" s="150"/>
      <c r="S253" s="150"/>
      <c r="T253" s="150"/>
      <c r="U253" s="150"/>
      <c r="V253" s="150"/>
      <c r="W253" s="150"/>
      <c r="X253" s="150"/>
    </row>
    <row r="254">
      <c r="A254" s="150"/>
      <c r="B254" s="182"/>
      <c r="C254" s="217"/>
      <c r="D254" s="150"/>
      <c r="E254" s="150"/>
      <c r="F254" s="150"/>
      <c r="G254" s="150"/>
      <c r="H254" s="150"/>
      <c r="I254" s="150"/>
      <c r="J254" s="150"/>
      <c r="K254" s="150"/>
      <c r="L254" s="150"/>
      <c r="M254" s="150"/>
      <c r="N254" s="150"/>
      <c r="O254" s="150"/>
      <c r="P254" s="150"/>
      <c r="Q254" s="150"/>
      <c r="R254" s="150"/>
      <c r="S254" s="150"/>
      <c r="T254" s="150"/>
      <c r="U254" s="150"/>
      <c r="V254" s="150"/>
      <c r="W254" s="150"/>
      <c r="X254" s="150"/>
    </row>
    <row r="255">
      <c r="A255" s="150"/>
      <c r="B255" s="182"/>
      <c r="C255" s="217"/>
      <c r="D255" s="150"/>
      <c r="E255" s="150"/>
      <c r="F255" s="150"/>
      <c r="G255" s="150"/>
      <c r="H255" s="150"/>
      <c r="I255" s="150"/>
      <c r="J255" s="150"/>
      <c r="K255" s="150"/>
      <c r="L255" s="150"/>
      <c r="M255" s="150"/>
      <c r="N255" s="150"/>
      <c r="O255" s="150"/>
      <c r="P255" s="150"/>
      <c r="Q255" s="150"/>
      <c r="R255" s="150"/>
      <c r="S255" s="150"/>
      <c r="T255" s="150"/>
      <c r="U255" s="150"/>
      <c r="V255" s="150"/>
      <c r="W255" s="150"/>
      <c r="X255" s="150"/>
    </row>
    <row r="256">
      <c r="A256" s="150"/>
      <c r="B256" s="182"/>
      <c r="C256" s="217"/>
      <c r="D256" s="150"/>
      <c r="E256" s="150"/>
      <c r="F256" s="150"/>
      <c r="G256" s="150"/>
      <c r="H256" s="150"/>
      <c r="I256" s="150"/>
      <c r="J256" s="150"/>
      <c r="K256" s="150"/>
      <c r="L256" s="150"/>
      <c r="M256" s="150"/>
      <c r="N256" s="150"/>
      <c r="O256" s="150"/>
      <c r="P256" s="150"/>
      <c r="Q256" s="150"/>
      <c r="R256" s="150"/>
      <c r="S256" s="150"/>
      <c r="T256" s="150"/>
      <c r="U256" s="150"/>
      <c r="V256" s="150"/>
      <c r="W256" s="150"/>
      <c r="X256" s="150"/>
    </row>
    <row r="257">
      <c r="A257" s="150"/>
      <c r="B257" s="182"/>
      <c r="C257" s="217"/>
      <c r="D257" s="150"/>
      <c r="E257" s="150"/>
      <c r="F257" s="150"/>
      <c r="G257" s="150"/>
      <c r="H257" s="150"/>
      <c r="I257" s="150"/>
      <c r="J257" s="150"/>
      <c r="K257" s="150"/>
      <c r="L257" s="150"/>
      <c r="M257" s="150"/>
      <c r="N257" s="150"/>
      <c r="O257" s="150"/>
      <c r="P257" s="150"/>
      <c r="Q257" s="150"/>
      <c r="R257" s="150"/>
      <c r="S257" s="150"/>
      <c r="T257" s="150"/>
      <c r="U257" s="150"/>
      <c r="V257" s="150"/>
      <c r="W257" s="150"/>
      <c r="X257" s="150"/>
    </row>
    <row r="258">
      <c r="A258" s="150"/>
      <c r="B258" s="182"/>
      <c r="C258" s="217"/>
      <c r="D258" s="150"/>
      <c r="E258" s="150"/>
      <c r="F258" s="150"/>
      <c r="G258" s="150"/>
      <c r="H258" s="150"/>
      <c r="I258" s="150"/>
      <c r="J258" s="150"/>
      <c r="K258" s="150"/>
      <c r="L258" s="150"/>
      <c r="M258" s="150"/>
      <c r="N258" s="150"/>
      <c r="O258" s="150"/>
      <c r="P258" s="150"/>
      <c r="Q258" s="150"/>
      <c r="R258" s="150"/>
      <c r="S258" s="150"/>
      <c r="T258" s="150"/>
      <c r="U258" s="150"/>
      <c r="V258" s="150"/>
      <c r="W258" s="150"/>
      <c r="X258" s="150"/>
    </row>
    <row r="259">
      <c r="A259" s="150"/>
      <c r="B259" s="182"/>
      <c r="C259" s="217"/>
      <c r="D259" s="150"/>
      <c r="E259" s="150"/>
      <c r="F259" s="150"/>
      <c r="G259" s="150"/>
      <c r="H259" s="150"/>
      <c r="I259" s="150"/>
      <c r="J259" s="150"/>
      <c r="K259" s="150"/>
      <c r="L259" s="150"/>
      <c r="M259" s="150"/>
      <c r="N259" s="150"/>
      <c r="O259" s="150"/>
      <c r="P259" s="150"/>
      <c r="Q259" s="150"/>
      <c r="R259" s="150"/>
      <c r="S259" s="150"/>
      <c r="T259" s="150"/>
      <c r="U259" s="150"/>
      <c r="V259" s="150"/>
      <c r="W259" s="150"/>
      <c r="X259" s="150"/>
    </row>
    <row r="260">
      <c r="A260" s="150"/>
      <c r="B260" s="182"/>
      <c r="C260" s="217"/>
      <c r="D260" s="150"/>
      <c r="E260" s="150"/>
      <c r="F260" s="150"/>
      <c r="G260" s="150"/>
      <c r="H260" s="150"/>
      <c r="I260" s="150"/>
      <c r="J260" s="150"/>
      <c r="K260" s="150"/>
      <c r="L260" s="150"/>
      <c r="M260" s="150"/>
      <c r="N260" s="150"/>
      <c r="O260" s="150"/>
      <c r="P260" s="150"/>
      <c r="Q260" s="150"/>
      <c r="R260" s="150"/>
      <c r="S260" s="150"/>
      <c r="T260" s="150"/>
      <c r="U260" s="150"/>
      <c r="V260" s="150"/>
      <c r="W260" s="150"/>
      <c r="X260" s="150"/>
    </row>
    <row r="261">
      <c r="A261" s="150"/>
      <c r="B261" s="182"/>
      <c r="C261" s="217"/>
      <c r="D261" s="150"/>
      <c r="E261" s="150"/>
      <c r="F261" s="150"/>
      <c r="G261" s="150"/>
      <c r="H261" s="150"/>
      <c r="I261" s="150"/>
      <c r="J261" s="150"/>
      <c r="K261" s="150"/>
      <c r="L261" s="150"/>
      <c r="M261" s="150"/>
      <c r="N261" s="150"/>
      <c r="O261" s="150"/>
      <c r="P261" s="150"/>
      <c r="Q261" s="150"/>
      <c r="R261" s="150"/>
      <c r="S261" s="150"/>
      <c r="T261" s="150"/>
      <c r="U261" s="150"/>
      <c r="V261" s="150"/>
      <c r="W261" s="150"/>
      <c r="X261" s="150"/>
    </row>
    <row r="262">
      <c r="A262" s="150"/>
      <c r="B262" s="182"/>
      <c r="C262" s="217"/>
      <c r="D262" s="150"/>
      <c r="E262" s="150"/>
      <c r="F262" s="150"/>
      <c r="G262" s="150"/>
      <c r="H262" s="150"/>
      <c r="I262" s="150"/>
      <c r="J262" s="150"/>
      <c r="K262" s="150"/>
      <c r="L262" s="150"/>
      <c r="M262" s="150"/>
      <c r="N262" s="150"/>
      <c r="O262" s="150"/>
      <c r="P262" s="150"/>
      <c r="Q262" s="150"/>
      <c r="R262" s="150"/>
      <c r="S262" s="150"/>
      <c r="T262" s="150"/>
      <c r="U262" s="150"/>
      <c r="V262" s="150"/>
      <c r="W262" s="150"/>
      <c r="X262" s="150"/>
    </row>
    <row r="263">
      <c r="A263" s="150"/>
      <c r="B263" s="182"/>
      <c r="C263" s="217"/>
      <c r="D263" s="150"/>
      <c r="E263" s="150"/>
      <c r="F263" s="150"/>
      <c r="G263" s="150"/>
      <c r="H263" s="150"/>
      <c r="I263" s="150"/>
      <c r="J263" s="150"/>
      <c r="K263" s="150"/>
      <c r="L263" s="150"/>
      <c r="M263" s="150"/>
      <c r="N263" s="150"/>
      <c r="O263" s="150"/>
      <c r="P263" s="150"/>
      <c r="Q263" s="150"/>
      <c r="R263" s="150"/>
      <c r="S263" s="150"/>
      <c r="T263" s="150"/>
      <c r="U263" s="150"/>
      <c r="V263" s="150"/>
      <c r="W263" s="150"/>
      <c r="X263" s="150"/>
    </row>
    <row r="264">
      <c r="A264" s="150"/>
      <c r="B264" s="182"/>
      <c r="C264" s="217"/>
      <c r="D264" s="150"/>
      <c r="E264" s="150"/>
      <c r="F264" s="150"/>
      <c r="G264" s="150"/>
      <c r="H264" s="150"/>
      <c r="I264" s="150"/>
      <c r="J264" s="150"/>
      <c r="K264" s="150"/>
      <c r="L264" s="150"/>
      <c r="M264" s="150"/>
      <c r="N264" s="150"/>
      <c r="O264" s="150"/>
      <c r="P264" s="150"/>
      <c r="Q264" s="150"/>
      <c r="R264" s="150"/>
      <c r="S264" s="150"/>
      <c r="T264" s="150"/>
      <c r="U264" s="150"/>
      <c r="V264" s="150"/>
      <c r="W264" s="150"/>
      <c r="X264" s="150"/>
    </row>
    <row r="265">
      <c r="A265" s="150"/>
      <c r="B265" s="182"/>
      <c r="C265" s="217"/>
      <c r="D265" s="150"/>
      <c r="E265" s="150"/>
      <c r="F265" s="150"/>
      <c r="G265" s="150"/>
      <c r="H265" s="150"/>
      <c r="I265" s="150"/>
      <c r="J265" s="150"/>
      <c r="K265" s="150"/>
      <c r="L265" s="150"/>
      <c r="M265" s="150"/>
      <c r="N265" s="150"/>
      <c r="O265" s="150"/>
      <c r="P265" s="150"/>
      <c r="Q265" s="150"/>
      <c r="R265" s="150"/>
      <c r="S265" s="150"/>
      <c r="T265" s="150"/>
      <c r="U265" s="150"/>
      <c r="V265" s="150"/>
      <c r="W265" s="150"/>
      <c r="X265" s="150"/>
    </row>
    <row r="266">
      <c r="A266" s="150"/>
      <c r="B266" s="182"/>
      <c r="C266" s="217"/>
      <c r="D266" s="150"/>
      <c r="E266" s="150"/>
      <c r="F266" s="150"/>
      <c r="G266" s="150"/>
      <c r="H266" s="150"/>
      <c r="I266" s="150"/>
      <c r="J266" s="150"/>
      <c r="K266" s="150"/>
      <c r="L266" s="150"/>
      <c r="M266" s="150"/>
      <c r="N266" s="150"/>
      <c r="O266" s="150"/>
      <c r="P266" s="150"/>
      <c r="Q266" s="150"/>
      <c r="R266" s="150"/>
      <c r="S266" s="150"/>
      <c r="T266" s="150"/>
      <c r="U266" s="150"/>
      <c r="V266" s="150"/>
      <c r="W266" s="150"/>
      <c r="X266" s="150"/>
    </row>
    <row r="267">
      <c r="A267" s="150"/>
      <c r="B267" s="182"/>
      <c r="C267" s="217"/>
      <c r="D267" s="150"/>
      <c r="E267" s="150"/>
      <c r="F267" s="150"/>
      <c r="G267" s="150"/>
      <c r="H267" s="150"/>
      <c r="I267" s="150"/>
      <c r="J267" s="150"/>
      <c r="K267" s="150"/>
      <c r="L267" s="150"/>
      <c r="M267" s="150"/>
      <c r="N267" s="150"/>
      <c r="O267" s="150"/>
      <c r="P267" s="150"/>
      <c r="Q267" s="150"/>
      <c r="R267" s="150"/>
      <c r="S267" s="150"/>
      <c r="T267" s="150"/>
      <c r="U267" s="150"/>
      <c r="V267" s="150"/>
      <c r="W267" s="150"/>
      <c r="X267" s="150"/>
    </row>
    <row r="268">
      <c r="A268" s="150"/>
      <c r="B268" s="182"/>
      <c r="C268" s="217"/>
      <c r="D268" s="150"/>
      <c r="E268" s="150"/>
      <c r="F268" s="150"/>
      <c r="G268" s="150"/>
      <c r="H268" s="150"/>
      <c r="I268" s="150"/>
      <c r="J268" s="150"/>
      <c r="K268" s="150"/>
      <c r="L268" s="150"/>
      <c r="M268" s="150"/>
      <c r="N268" s="150"/>
      <c r="O268" s="150"/>
      <c r="P268" s="150"/>
      <c r="Q268" s="150"/>
      <c r="R268" s="150"/>
      <c r="S268" s="150"/>
      <c r="T268" s="150"/>
      <c r="U268" s="150"/>
      <c r="V268" s="150"/>
      <c r="W268" s="150"/>
      <c r="X268" s="150"/>
    </row>
    <row r="269">
      <c r="A269" s="150"/>
      <c r="B269" s="182"/>
      <c r="C269" s="217"/>
      <c r="D269" s="150"/>
      <c r="E269" s="150"/>
      <c r="F269" s="150"/>
      <c r="G269" s="150"/>
      <c r="H269" s="150"/>
      <c r="I269" s="150"/>
      <c r="J269" s="150"/>
      <c r="K269" s="150"/>
      <c r="L269" s="150"/>
      <c r="M269" s="150"/>
      <c r="N269" s="150"/>
      <c r="O269" s="150"/>
      <c r="P269" s="150"/>
      <c r="Q269" s="150"/>
      <c r="R269" s="150"/>
      <c r="S269" s="150"/>
      <c r="T269" s="150"/>
      <c r="U269" s="150"/>
      <c r="V269" s="150"/>
      <c r="W269" s="150"/>
      <c r="X269" s="150"/>
    </row>
    <row r="270">
      <c r="A270" s="150"/>
      <c r="B270" s="182"/>
      <c r="C270" s="217"/>
      <c r="D270" s="150"/>
      <c r="E270" s="150"/>
      <c r="F270" s="150"/>
      <c r="G270" s="150"/>
      <c r="H270" s="150"/>
      <c r="I270" s="150"/>
      <c r="J270" s="150"/>
      <c r="K270" s="150"/>
      <c r="L270" s="150"/>
      <c r="M270" s="150"/>
      <c r="N270" s="150"/>
      <c r="O270" s="150"/>
      <c r="P270" s="150"/>
      <c r="Q270" s="150"/>
      <c r="R270" s="150"/>
      <c r="S270" s="150"/>
      <c r="T270" s="150"/>
      <c r="U270" s="150"/>
      <c r="V270" s="150"/>
      <c r="W270" s="150"/>
      <c r="X270" s="150"/>
    </row>
    <row r="271">
      <c r="A271" s="150"/>
      <c r="B271" s="182"/>
      <c r="C271" s="217"/>
      <c r="D271" s="150"/>
      <c r="E271" s="150"/>
      <c r="F271" s="150"/>
      <c r="G271" s="150"/>
      <c r="H271" s="150"/>
      <c r="I271" s="150"/>
      <c r="J271" s="150"/>
      <c r="K271" s="150"/>
      <c r="L271" s="150"/>
      <c r="M271" s="150"/>
      <c r="N271" s="150"/>
      <c r="O271" s="150"/>
      <c r="P271" s="150"/>
      <c r="Q271" s="150"/>
      <c r="R271" s="150"/>
      <c r="S271" s="150"/>
      <c r="T271" s="150"/>
      <c r="U271" s="150"/>
      <c r="V271" s="150"/>
      <c r="W271" s="150"/>
      <c r="X271" s="150"/>
    </row>
    <row r="272">
      <c r="A272" s="150"/>
      <c r="B272" s="182"/>
      <c r="C272" s="217"/>
      <c r="D272" s="150"/>
      <c r="E272" s="150"/>
      <c r="F272" s="150"/>
      <c r="G272" s="150"/>
      <c r="H272" s="150"/>
      <c r="I272" s="150"/>
      <c r="J272" s="150"/>
      <c r="K272" s="150"/>
      <c r="L272" s="150"/>
      <c r="M272" s="150"/>
      <c r="N272" s="150"/>
      <c r="O272" s="150"/>
      <c r="P272" s="150"/>
      <c r="Q272" s="150"/>
      <c r="R272" s="150"/>
      <c r="S272" s="150"/>
      <c r="T272" s="150"/>
      <c r="U272" s="150"/>
      <c r="V272" s="150"/>
      <c r="W272" s="150"/>
      <c r="X272" s="150"/>
    </row>
    <row r="273">
      <c r="A273" s="150"/>
      <c r="B273" s="182"/>
      <c r="C273" s="217"/>
      <c r="D273" s="150"/>
      <c r="E273" s="150"/>
      <c r="F273" s="150"/>
      <c r="G273" s="150"/>
      <c r="H273" s="150"/>
      <c r="I273" s="150"/>
      <c r="J273" s="150"/>
      <c r="K273" s="150"/>
      <c r="L273" s="150"/>
      <c r="M273" s="150"/>
      <c r="N273" s="150"/>
      <c r="O273" s="150"/>
      <c r="P273" s="150"/>
      <c r="Q273" s="150"/>
      <c r="R273" s="150"/>
      <c r="S273" s="150"/>
      <c r="T273" s="150"/>
      <c r="U273" s="150"/>
      <c r="V273" s="150"/>
      <c r="W273" s="150"/>
      <c r="X273" s="150"/>
    </row>
    <row r="274">
      <c r="A274" s="150"/>
      <c r="B274" s="182"/>
      <c r="C274" s="217"/>
      <c r="D274" s="150"/>
      <c r="E274" s="150"/>
      <c r="F274" s="150"/>
      <c r="G274" s="150"/>
      <c r="H274" s="150"/>
      <c r="I274" s="150"/>
      <c r="J274" s="150"/>
      <c r="K274" s="150"/>
      <c r="L274" s="150"/>
      <c r="M274" s="150"/>
      <c r="N274" s="150"/>
      <c r="O274" s="150"/>
      <c r="P274" s="150"/>
      <c r="Q274" s="150"/>
      <c r="R274" s="150"/>
      <c r="S274" s="150"/>
      <c r="T274" s="150"/>
      <c r="U274" s="150"/>
      <c r="V274" s="150"/>
      <c r="W274" s="150"/>
      <c r="X274" s="150"/>
    </row>
    <row r="275">
      <c r="A275" s="150"/>
      <c r="B275" s="182"/>
      <c r="C275" s="217"/>
      <c r="D275" s="150"/>
      <c r="E275" s="150"/>
      <c r="F275" s="150"/>
      <c r="G275" s="150"/>
      <c r="H275" s="150"/>
      <c r="I275" s="150"/>
      <c r="J275" s="150"/>
      <c r="K275" s="150"/>
      <c r="L275" s="150"/>
      <c r="M275" s="150"/>
      <c r="N275" s="150"/>
      <c r="O275" s="150"/>
      <c r="P275" s="150"/>
      <c r="Q275" s="150"/>
      <c r="R275" s="150"/>
      <c r="S275" s="150"/>
      <c r="T275" s="150"/>
      <c r="U275" s="150"/>
      <c r="V275" s="150"/>
      <c r="W275" s="150"/>
      <c r="X275" s="150"/>
    </row>
    <row r="276">
      <c r="A276" s="150"/>
      <c r="B276" s="182"/>
      <c r="C276" s="217"/>
      <c r="D276" s="150"/>
      <c r="E276" s="150"/>
      <c r="F276" s="150"/>
      <c r="G276" s="150"/>
      <c r="H276" s="150"/>
      <c r="I276" s="150"/>
      <c r="J276" s="150"/>
      <c r="K276" s="150"/>
      <c r="L276" s="150"/>
      <c r="M276" s="150"/>
      <c r="N276" s="150"/>
      <c r="O276" s="150"/>
      <c r="P276" s="150"/>
      <c r="Q276" s="150"/>
      <c r="R276" s="150"/>
      <c r="S276" s="150"/>
      <c r="T276" s="150"/>
      <c r="U276" s="150"/>
      <c r="V276" s="150"/>
      <c r="W276" s="150"/>
      <c r="X276" s="150"/>
    </row>
    <row r="277">
      <c r="A277" s="150"/>
      <c r="B277" s="182"/>
      <c r="C277" s="217"/>
      <c r="D277" s="150"/>
      <c r="E277" s="150"/>
      <c r="F277" s="150"/>
      <c r="G277" s="150"/>
      <c r="H277" s="150"/>
      <c r="I277" s="150"/>
      <c r="J277" s="150"/>
      <c r="K277" s="150"/>
      <c r="L277" s="150"/>
      <c r="M277" s="150"/>
      <c r="N277" s="150"/>
      <c r="O277" s="150"/>
      <c r="P277" s="150"/>
      <c r="Q277" s="150"/>
      <c r="R277" s="150"/>
      <c r="S277" s="150"/>
      <c r="T277" s="150"/>
      <c r="U277" s="150"/>
      <c r="V277" s="150"/>
      <c r="W277" s="150"/>
      <c r="X277" s="150"/>
    </row>
    <row r="278">
      <c r="A278" s="150"/>
      <c r="B278" s="182"/>
      <c r="C278" s="217"/>
      <c r="D278" s="150"/>
      <c r="E278" s="150"/>
      <c r="F278" s="150"/>
      <c r="G278" s="150"/>
      <c r="H278" s="150"/>
      <c r="I278" s="150"/>
      <c r="J278" s="150"/>
      <c r="K278" s="150"/>
      <c r="L278" s="150"/>
      <c r="M278" s="150"/>
      <c r="N278" s="150"/>
      <c r="O278" s="150"/>
      <c r="P278" s="150"/>
      <c r="Q278" s="150"/>
      <c r="R278" s="150"/>
      <c r="S278" s="150"/>
      <c r="T278" s="150"/>
      <c r="U278" s="150"/>
      <c r="V278" s="150"/>
      <c r="W278" s="150"/>
      <c r="X278" s="150"/>
    </row>
    <row r="279">
      <c r="A279" s="150"/>
      <c r="B279" s="182"/>
      <c r="C279" s="217"/>
      <c r="D279" s="150"/>
      <c r="E279" s="150"/>
      <c r="F279" s="150"/>
      <c r="G279" s="150"/>
      <c r="H279" s="150"/>
      <c r="I279" s="150"/>
      <c r="J279" s="150"/>
      <c r="K279" s="150"/>
      <c r="L279" s="150"/>
      <c r="M279" s="150"/>
      <c r="N279" s="150"/>
      <c r="O279" s="150"/>
      <c r="P279" s="150"/>
      <c r="Q279" s="150"/>
      <c r="R279" s="150"/>
      <c r="S279" s="150"/>
      <c r="T279" s="150"/>
      <c r="U279" s="150"/>
      <c r="V279" s="150"/>
      <c r="W279" s="150"/>
      <c r="X279" s="150"/>
    </row>
    <row r="280">
      <c r="A280" s="150"/>
      <c r="B280" s="182"/>
      <c r="C280" s="217"/>
      <c r="D280" s="150"/>
      <c r="E280" s="150"/>
      <c r="F280" s="150"/>
      <c r="G280" s="150"/>
      <c r="H280" s="150"/>
      <c r="I280" s="150"/>
      <c r="J280" s="150"/>
      <c r="K280" s="150"/>
      <c r="L280" s="150"/>
      <c r="M280" s="150"/>
      <c r="N280" s="150"/>
      <c r="O280" s="150"/>
      <c r="P280" s="150"/>
      <c r="Q280" s="150"/>
      <c r="R280" s="150"/>
      <c r="S280" s="150"/>
      <c r="T280" s="150"/>
      <c r="U280" s="150"/>
      <c r="V280" s="150"/>
      <c r="W280" s="150"/>
      <c r="X280" s="150"/>
    </row>
    <row r="281">
      <c r="A281" s="150"/>
      <c r="B281" s="182"/>
      <c r="C281" s="217"/>
      <c r="D281" s="150"/>
      <c r="E281" s="150"/>
      <c r="F281" s="150"/>
      <c r="G281" s="150"/>
      <c r="H281" s="150"/>
      <c r="I281" s="150"/>
      <c r="J281" s="150"/>
      <c r="K281" s="150"/>
      <c r="L281" s="150"/>
      <c r="M281" s="150"/>
      <c r="N281" s="150"/>
      <c r="O281" s="150"/>
      <c r="P281" s="150"/>
      <c r="Q281" s="150"/>
      <c r="R281" s="150"/>
      <c r="S281" s="150"/>
      <c r="T281" s="150"/>
      <c r="U281" s="150"/>
      <c r="V281" s="150"/>
      <c r="W281" s="150"/>
      <c r="X281" s="150"/>
    </row>
    <row r="282">
      <c r="A282" s="150"/>
      <c r="B282" s="182"/>
      <c r="C282" s="217"/>
      <c r="D282" s="150"/>
      <c r="E282" s="150"/>
      <c r="F282" s="150"/>
      <c r="G282" s="150"/>
      <c r="H282" s="150"/>
      <c r="I282" s="150"/>
      <c r="J282" s="150"/>
      <c r="K282" s="150"/>
      <c r="L282" s="150"/>
      <c r="M282" s="150"/>
      <c r="N282" s="150"/>
      <c r="O282" s="150"/>
      <c r="P282" s="150"/>
      <c r="Q282" s="150"/>
      <c r="R282" s="150"/>
      <c r="S282" s="150"/>
      <c r="T282" s="150"/>
      <c r="U282" s="150"/>
      <c r="V282" s="150"/>
      <c r="W282" s="150"/>
      <c r="X282" s="150"/>
    </row>
    <row r="283">
      <c r="A283" s="150"/>
      <c r="B283" s="182"/>
      <c r="C283" s="217"/>
      <c r="D283" s="150"/>
      <c r="E283" s="150"/>
      <c r="F283" s="150"/>
      <c r="G283" s="150"/>
      <c r="H283" s="150"/>
      <c r="I283" s="150"/>
      <c r="J283" s="150"/>
      <c r="K283" s="150"/>
      <c r="L283" s="150"/>
      <c r="M283" s="150"/>
      <c r="N283" s="150"/>
      <c r="O283" s="150"/>
      <c r="P283" s="150"/>
      <c r="Q283" s="150"/>
      <c r="R283" s="150"/>
      <c r="S283" s="150"/>
      <c r="T283" s="150"/>
      <c r="U283" s="150"/>
      <c r="V283" s="150"/>
      <c r="W283" s="150"/>
      <c r="X283" s="150"/>
    </row>
    <row r="284">
      <c r="A284" s="150"/>
      <c r="B284" s="182"/>
      <c r="C284" s="217"/>
      <c r="D284" s="150"/>
      <c r="E284" s="150"/>
      <c r="F284" s="150"/>
      <c r="G284" s="150"/>
      <c r="H284" s="150"/>
      <c r="I284" s="150"/>
      <c r="J284" s="150"/>
      <c r="K284" s="150"/>
      <c r="L284" s="150"/>
      <c r="M284" s="150"/>
      <c r="N284" s="150"/>
      <c r="O284" s="150"/>
      <c r="P284" s="150"/>
      <c r="Q284" s="150"/>
      <c r="R284" s="150"/>
      <c r="S284" s="150"/>
      <c r="T284" s="150"/>
      <c r="U284" s="150"/>
      <c r="V284" s="150"/>
      <c r="W284" s="150"/>
      <c r="X284" s="150"/>
    </row>
    <row r="285">
      <c r="A285" s="150"/>
      <c r="B285" s="182"/>
      <c r="C285" s="217"/>
      <c r="D285" s="150"/>
      <c r="E285" s="150"/>
      <c r="F285" s="150"/>
      <c r="G285" s="150"/>
      <c r="H285" s="150"/>
      <c r="I285" s="150"/>
      <c r="J285" s="150"/>
      <c r="K285" s="150"/>
      <c r="L285" s="150"/>
      <c r="M285" s="150"/>
      <c r="N285" s="150"/>
      <c r="O285" s="150"/>
      <c r="P285" s="150"/>
      <c r="Q285" s="150"/>
      <c r="R285" s="150"/>
      <c r="S285" s="150"/>
      <c r="T285" s="150"/>
      <c r="U285" s="150"/>
      <c r="V285" s="150"/>
      <c r="W285" s="150"/>
      <c r="X285" s="150"/>
    </row>
    <row r="286">
      <c r="A286" s="150"/>
      <c r="B286" s="182"/>
      <c r="C286" s="217"/>
      <c r="D286" s="150"/>
      <c r="E286" s="150"/>
      <c r="F286" s="150"/>
      <c r="G286" s="150"/>
      <c r="H286" s="150"/>
      <c r="I286" s="150"/>
      <c r="J286" s="150"/>
      <c r="K286" s="150"/>
      <c r="L286" s="150"/>
      <c r="M286" s="150"/>
      <c r="N286" s="150"/>
      <c r="O286" s="150"/>
      <c r="P286" s="150"/>
      <c r="Q286" s="150"/>
      <c r="R286" s="150"/>
      <c r="S286" s="150"/>
      <c r="T286" s="150"/>
      <c r="U286" s="150"/>
      <c r="V286" s="150"/>
      <c r="W286" s="150"/>
      <c r="X286" s="150"/>
    </row>
    <row r="287">
      <c r="A287" s="150"/>
      <c r="B287" s="182"/>
      <c r="C287" s="217"/>
      <c r="D287" s="150"/>
      <c r="E287" s="150"/>
      <c r="F287" s="150"/>
      <c r="G287" s="150"/>
      <c r="H287" s="150"/>
      <c r="I287" s="150"/>
      <c r="J287" s="150"/>
      <c r="K287" s="150"/>
      <c r="L287" s="150"/>
      <c r="M287" s="150"/>
      <c r="N287" s="150"/>
      <c r="O287" s="150"/>
      <c r="P287" s="150"/>
      <c r="Q287" s="150"/>
      <c r="R287" s="150"/>
      <c r="S287" s="150"/>
      <c r="T287" s="150"/>
      <c r="U287" s="150"/>
      <c r="V287" s="150"/>
      <c r="W287" s="150"/>
      <c r="X287" s="150"/>
    </row>
    <row r="288">
      <c r="A288" s="150"/>
      <c r="B288" s="182"/>
      <c r="C288" s="217"/>
      <c r="D288" s="150"/>
      <c r="E288" s="150"/>
      <c r="F288" s="150"/>
      <c r="G288" s="150"/>
      <c r="H288" s="150"/>
      <c r="I288" s="150"/>
      <c r="J288" s="150"/>
      <c r="K288" s="150"/>
      <c r="L288" s="150"/>
      <c r="M288" s="150"/>
      <c r="N288" s="150"/>
      <c r="O288" s="150"/>
      <c r="P288" s="150"/>
      <c r="Q288" s="150"/>
      <c r="R288" s="150"/>
      <c r="S288" s="150"/>
      <c r="T288" s="150"/>
      <c r="U288" s="150"/>
      <c r="V288" s="150"/>
      <c r="W288" s="150"/>
      <c r="X288" s="150"/>
    </row>
    <row r="289">
      <c r="A289" s="150"/>
      <c r="B289" s="182"/>
      <c r="C289" s="217"/>
      <c r="D289" s="150"/>
      <c r="E289" s="150"/>
      <c r="F289" s="150"/>
      <c r="G289" s="150"/>
      <c r="H289" s="150"/>
      <c r="I289" s="150"/>
      <c r="J289" s="150"/>
      <c r="K289" s="150"/>
      <c r="L289" s="150"/>
      <c r="M289" s="150"/>
      <c r="N289" s="150"/>
      <c r="O289" s="150"/>
      <c r="P289" s="150"/>
      <c r="Q289" s="150"/>
      <c r="R289" s="150"/>
      <c r="S289" s="150"/>
      <c r="T289" s="150"/>
      <c r="U289" s="150"/>
      <c r="V289" s="150"/>
      <c r="W289" s="150"/>
      <c r="X289" s="150"/>
    </row>
    <row r="290">
      <c r="A290" s="150"/>
      <c r="B290" s="182"/>
      <c r="C290" s="217"/>
      <c r="D290" s="150"/>
      <c r="E290" s="150"/>
      <c r="F290" s="150"/>
      <c r="G290" s="150"/>
      <c r="H290" s="150"/>
      <c r="I290" s="150"/>
      <c r="J290" s="150"/>
      <c r="K290" s="150"/>
      <c r="L290" s="150"/>
      <c r="M290" s="150"/>
      <c r="N290" s="150"/>
      <c r="O290" s="150"/>
      <c r="P290" s="150"/>
      <c r="Q290" s="150"/>
      <c r="R290" s="150"/>
      <c r="S290" s="150"/>
      <c r="T290" s="150"/>
      <c r="U290" s="150"/>
      <c r="V290" s="150"/>
      <c r="W290" s="150"/>
      <c r="X290" s="150"/>
    </row>
    <row r="291">
      <c r="A291" s="150"/>
      <c r="B291" s="182"/>
      <c r="C291" s="217"/>
      <c r="D291" s="150"/>
      <c r="E291" s="150"/>
      <c r="F291" s="150"/>
      <c r="G291" s="150"/>
      <c r="H291" s="150"/>
      <c r="I291" s="150"/>
      <c r="J291" s="150"/>
      <c r="K291" s="150"/>
      <c r="L291" s="150"/>
      <c r="M291" s="150"/>
      <c r="N291" s="150"/>
      <c r="O291" s="150"/>
      <c r="P291" s="150"/>
      <c r="Q291" s="150"/>
      <c r="R291" s="150"/>
      <c r="S291" s="150"/>
      <c r="T291" s="150"/>
      <c r="U291" s="150"/>
      <c r="V291" s="150"/>
      <c r="W291" s="150"/>
      <c r="X291" s="150"/>
    </row>
    <row r="292">
      <c r="A292" s="150"/>
      <c r="B292" s="182"/>
      <c r="C292" s="217"/>
      <c r="D292" s="150"/>
      <c r="E292" s="150"/>
      <c r="F292" s="150"/>
      <c r="G292" s="150"/>
      <c r="H292" s="150"/>
      <c r="I292" s="150"/>
      <c r="J292" s="150"/>
      <c r="K292" s="150"/>
      <c r="L292" s="150"/>
      <c r="M292" s="150"/>
      <c r="N292" s="150"/>
      <c r="O292" s="150"/>
      <c r="P292" s="150"/>
      <c r="Q292" s="150"/>
      <c r="R292" s="150"/>
      <c r="S292" s="150"/>
      <c r="T292" s="150"/>
      <c r="U292" s="150"/>
      <c r="V292" s="150"/>
      <c r="W292" s="150"/>
      <c r="X292" s="150"/>
    </row>
    <row r="293">
      <c r="A293" s="150"/>
      <c r="B293" s="182"/>
      <c r="C293" s="217"/>
      <c r="D293" s="150"/>
      <c r="E293" s="150"/>
      <c r="F293" s="150"/>
      <c r="G293" s="150"/>
      <c r="H293" s="150"/>
      <c r="I293" s="150"/>
      <c r="J293" s="150"/>
      <c r="K293" s="150"/>
      <c r="L293" s="150"/>
      <c r="M293" s="150"/>
      <c r="N293" s="150"/>
      <c r="O293" s="150"/>
      <c r="P293" s="150"/>
      <c r="Q293" s="150"/>
      <c r="R293" s="150"/>
      <c r="S293" s="150"/>
      <c r="T293" s="150"/>
      <c r="U293" s="150"/>
      <c r="V293" s="150"/>
      <c r="W293" s="150"/>
      <c r="X293" s="150"/>
    </row>
    <row r="294">
      <c r="A294" s="150"/>
      <c r="B294" s="182"/>
      <c r="C294" s="217"/>
      <c r="D294" s="150"/>
      <c r="E294" s="150"/>
      <c r="F294" s="150"/>
      <c r="G294" s="150"/>
      <c r="H294" s="150"/>
      <c r="I294" s="150"/>
      <c r="J294" s="150"/>
      <c r="K294" s="150"/>
      <c r="L294" s="150"/>
      <c r="M294" s="150"/>
      <c r="N294" s="150"/>
      <c r="O294" s="150"/>
      <c r="P294" s="150"/>
      <c r="Q294" s="150"/>
      <c r="R294" s="150"/>
      <c r="S294" s="150"/>
      <c r="T294" s="150"/>
      <c r="U294" s="150"/>
      <c r="V294" s="150"/>
      <c r="W294" s="150"/>
      <c r="X294" s="150"/>
    </row>
    <row r="295">
      <c r="A295" s="150"/>
      <c r="B295" s="182"/>
      <c r="C295" s="217"/>
      <c r="D295" s="150"/>
      <c r="E295" s="150"/>
      <c r="F295" s="150"/>
      <c r="G295" s="150"/>
      <c r="H295" s="150"/>
      <c r="I295" s="150"/>
      <c r="J295" s="150"/>
      <c r="K295" s="150"/>
      <c r="L295" s="150"/>
      <c r="M295" s="150"/>
      <c r="N295" s="150"/>
      <c r="O295" s="150"/>
      <c r="P295" s="150"/>
      <c r="Q295" s="150"/>
      <c r="R295" s="150"/>
      <c r="S295" s="150"/>
      <c r="T295" s="150"/>
      <c r="U295" s="150"/>
      <c r="V295" s="150"/>
      <c r="W295" s="150"/>
      <c r="X295" s="150"/>
    </row>
    <row r="296">
      <c r="A296" s="150"/>
      <c r="B296" s="182"/>
      <c r="C296" s="217"/>
      <c r="D296" s="150"/>
      <c r="E296" s="150"/>
      <c r="F296" s="150"/>
      <c r="G296" s="150"/>
      <c r="H296" s="150"/>
      <c r="I296" s="150"/>
      <c r="J296" s="150"/>
      <c r="K296" s="150"/>
      <c r="L296" s="150"/>
      <c r="M296" s="150"/>
      <c r="N296" s="150"/>
      <c r="O296" s="150"/>
      <c r="P296" s="150"/>
      <c r="Q296" s="150"/>
      <c r="R296" s="150"/>
      <c r="S296" s="150"/>
      <c r="T296" s="150"/>
      <c r="U296" s="150"/>
      <c r="V296" s="150"/>
      <c r="W296" s="150"/>
      <c r="X296" s="150"/>
    </row>
    <row r="297">
      <c r="A297" s="150"/>
      <c r="B297" s="182"/>
      <c r="C297" s="217"/>
      <c r="D297" s="150"/>
      <c r="E297" s="150"/>
      <c r="F297" s="150"/>
      <c r="G297" s="150"/>
      <c r="H297" s="150"/>
      <c r="I297" s="150"/>
      <c r="J297" s="150"/>
      <c r="K297" s="150"/>
      <c r="L297" s="150"/>
      <c r="M297" s="150"/>
      <c r="N297" s="150"/>
      <c r="O297" s="150"/>
      <c r="P297" s="150"/>
      <c r="Q297" s="150"/>
      <c r="R297" s="150"/>
      <c r="S297" s="150"/>
      <c r="T297" s="150"/>
      <c r="U297" s="150"/>
      <c r="V297" s="150"/>
      <c r="W297" s="150"/>
      <c r="X297" s="150"/>
    </row>
    <row r="298">
      <c r="A298" s="150"/>
      <c r="B298" s="182"/>
      <c r="C298" s="217"/>
      <c r="D298" s="150"/>
      <c r="E298" s="150"/>
      <c r="F298" s="150"/>
      <c r="G298" s="150"/>
      <c r="H298" s="150"/>
      <c r="I298" s="150"/>
      <c r="J298" s="150"/>
      <c r="K298" s="150"/>
      <c r="L298" s="150"/>
      <c r="M298" s="150"/>
      <c r="N298" s="150"/>
      <c r="O298" s="150"/>
      <c r="P298" s="150"/>
      <c r="Q298" s="150"/>
      <c r="R298" s="150"/>
      <c r="S298" s="150"/>
      <c r="T298" s="150"/>
      <c r="U298" s="150"/>
      <c r="V298" s="150"/>
      <c r="W298" s="150"/>
      <c r="X298" s="150"/>
    </row>
    <row r="299">
      <c r="A299" s="150"/>
      <c r="B299" s="182"/>
      <c r="C299" s="217"/>
      <c r="D299" s="150"/>
      <c r="E299" s="150"/>
      <c r="F299" s="150"/>
      <c r="G299" s="150"/>
      <c r="H299" s="150"/>
      <c r="I299" s="150"/>
      <c r="J299" s="150"/>
      <c r="K299" s="150"/>
      <c r="L299" s="150"/>
      <c r="M299" s="150"/>
      <c r="N299" s="150"/>
      <c r="O299" s="150"/>
      <c r="P299" s="150"/>
      <c r="Q299" s="150"/>
      <c r="R299" s="150"/>
      <c r="S299" s="150"/>
      <c r="T299" s="150"/>
      <c r="U299" s="150"/>
      <c r="V299" s="150"/>
      <c r="W299" s="150"/>
      <c r="X299" s="150"/>
    </row>
    <row r="300">
      <c r="A300" s="150"/>
      <c r="B300" s="182"/>
      <c r="C300" s="217"/>
      <c r="D300" s="150"/>
      <c r="E300" s="150"/>
      <c r="F300" s="150"/>
      <c r="G300" s="150"/>
      <c r="H300" s="150"/>
      <c r="I300" s="150"/>
      <c r="J300" s="150"/>
      <c r="K300" s="150"/>
      <c r="L300" s="150"/>
      <c r="M300" s="150"/>
      <c r="N300" s="150"/>
      <c r="O300" s="150"/>
      <c r="P300" s="150"/>
      <c r="Q300" s="150"/>
      <c r="R300" s="150"/>
      <c r="S300" s="150"/>
      <c r="T300" s="150"/>
      <c r="U300" s="150"/>
      <c r="V300" s="150"/>
      <c r="W300" s="150"/>
      <c r="X300" s="150"/>
    </row>
    <row r="301">
      <c r="A301" s="150"/>
      <c r="B301" s="182"/>
      <c r="C301" s="217"/>
      <c r="D301" s="150"/>
      <c r="E301" s="150"/>
      <c r="F301" s="150"/>
      <c r="G301" s="150"/>
      <c r="H301" s="150"/>
      <c r="I301" s="150"/>
      <c r="J301" s="150"/>
      <c r="K301" s="150"/>
      <c r="L301" s="150"/>
      <c r="M301" s="150"/>
      <c r="N301" s="150"/>
      <c r="O301" s="150"/>
      <c r="P301" s="150"/>
      <c r="Q301" s="150"/>
      <c r="R301" s="150"/>
      <c r="S301" s="150"/>
      <c r="T301" s="150"/>
      <c r="U301" s="150"/>
      <c r="V301" s="150"/>
      <c r="W301" s="150"/>
      <c r="X301" s="150"/>
    </row>
    <row r="302">
      <c r="A302" s="150"/>
      <c r="B302" s="182"/>
      <c r="C302" s="217"/>
      <c r="D302" s="150"/>
      <c r="E302" s="150"/>
      <c r="F302" s="150"/>
      <c r="G302" s="150"/>
      <c r="H302" s="150"/>
      <c r="I302" s="150"/>
      <c r="J302" s="150"/>
      <c r="K302" s="150"/>
      <c r="L302" s="150"/>
      <c r="M302" s="150"/>
      <c r="N302" s="150"/>
      <c r="O302" s="150"/>
      <c r="P302" s="150"/>
      <c r="Q302" s="150"/>
      <c r="R302" s="150"/>
      <c r="S302" s="150"/>
      <c r="T302" s="150"/>
      <c r="U302" s="150"/>
      <c r="V302" s="150"/>
      <c r="W302" s="150"/>
      <c r="X302" s="150"/>
    </row>
    <row r="303">
      <c r="A303" s="150"/>
      <c r="B303" s="182"/>
      <c r="C303" s="217"/>
      <c r="D303" s="150"/>
      <c r="E303" s="150"/>
      <c r="F303" s="150"/>
      <c r="G303" s="150"/>
      <c r="H303" s="150"/>
      <c r="I303" s="150"/>
      <c r="J303" s="150"/>
      <c r="K303" s="150"/>
      <c r="L303" s="150"/>
      <c r="M303" s="150"/>
      <c r="N303" s="150"/>
      <c r="O303" s="150"/>
      <c r="P303" s="150"/>
      <c r="Q303" s="150"/>
      <c r="R303" s="150"/>
      <c r="S303" s="150"/>
      <c r="T303" s="150"/>
      <c r="U303" s="150"/>
      <c r="V303" s="150"/>
      <c r="W303" s="150"/>
      <c r="X303" s="150"/>
    </row>
    <row r="304">
      <c r="A304" s="150"/>
      <c r="B304" s="182"/>
      <c r="C304" s="217"/>
      <c r="D304" s="150"/>
      <c r="E304" s="150"/>
      <c r="F304" s="150"/>
      <c r="G304" s="150"/>
      <c r="H304" s="150"/>
      <c r="I304" s="150"/>
      <c r="J304" s="150"/>
      <c r="K304" s="150"/>
      <c r="L304" s="150"/>
      <c r="M304" s="150"/>
      <c r="N304" s="150"/>
      <c r="O304" s="150"/>
      <c r="P304" s="150"/>
      <c r="Q304" s="150"/>
      <c r="R304" s="150"/>
      <c r="S304" s="150"/>
      <c r="T304" s="150"/>
      <c r="U304" s="150"/>
      <c r="V304" s="150"/>
      <c r="W304" s="150"/>
      <c r="X304" s="150"/>
    </row>
    <row r="305">
      <c r="A305" s="150"/>
      <c r="B305" s="182"/>
      <c r="C305" s="217"/>
      <c r="D305" s="150"/>
      <c r="E305" s="150"/>
      <c r="F305" s="150"/>
      <c r="G305" s="150"/>
      <c r="H305" s="150"/>
      <c r="I305" s="150"/>
      <c r="J305" s="150"/>
      <c r="K305" s="150"/>
      <c r="L305" s="150"/>
      <c r="M305" s="150"/>
      <c r="N305" s="150"/>
      <c r="O305" s="150"/>
      <c r="P305" s="150"/>
      <c r="Q305" s="150"/>
      <c r="R305" s="150"/>
      <c r="S305" s="150"/>
      <c r="T305" s="150"/>
      <c r="U305" s="150"/>
      <c r="V305" s="150"/>
      <c r="W305" s="150"/>
      <c r="X305" s="150"/>
    </row>
    <row r="306">
      <c r="A306" s="150"/>
      <c r="B306" s="182"/>
      <c r="C306" s="217"/>
      <c r="D306" s="150"/>
      <c r="E306" s="150"/>
      <c r="F306" s="150"/>
      <c r="G306" s="150"/>
      <c r="H306" s="150"/>
      <c r="I306" s="150"/>
      <c r="J306" s="150"/>
      <c r="K306" s="150"/>
      <c r="L306" s="150"/>
      <c r="M306" s="150"/>
      <c r="N306" s="150"/>
      <c r="O306" s="150"/>
      <c r="P306" s="150"/>
      <c r="Q306" s="150"/>
      <c r="R306" s="150"/>
      <c r="S306" s="150"/>
      <c r="T306" s="150"/>
      <c r="U306" s="150"/>
      <c r="V306" s="150"/>
      <c r="W306" s="150"/>
      <c r="X306" s="150"/>
    </row>
    <row r="307">
      <c r="A307" s="150"/>
      <c r="B307" s="182"/>
      <c r="C307" s="217"/>
      <c r="D307" s="150"/>
      <c r="E307" s="150"/>
      <c r="F307" s="150"/>
      <c r="G307" s="150"/>
      <c r="H307" s="150"/>
      <c r="I307" s="150"/>
      <c r="J307" s="150"/>
      <c r="K307" s="150"/>
      <c r="L307" s="150"/>
      <c r="M307" s="150"/>
      <c r="N307" s="150"/>
      <c r="O307" s="150"/>
      <c r="P307" s="150"/>
      <c r="Q307" s="150"/>
      <c r="R307" s="150"/>
      <c r="S307" s="150"/>
      <c r="T307" s="150"/>
      <c r="U307" s="150"/>
      <c r="V307" s="150"/>
      <c r="W307" s="150"/>
      <c r="X307" s="150"/>
    </row>
    <row r="308">
      <c r="A308" s="150"/>
      <c r="B308" s="182"/>
      <c r="C308" s="217"/>
      <c r="D308" s="150"/>
      <c r="E308" s="150"/>
      <c r="F308" s="150"/>
      <c r="G308" s="150"/>
      <c r="H308" s="150"/>
      <c r="I308" s="150"/>
      <c r="J308" s="150"/>
      <c r="K308" s="150"/>
      <c r="L308" s="150"/>
      <c r="M308" s="150"/>
      <c r="N308" s="150"/>
      <c r="O308" s="150"/>
      <c r="P308" s="150"/>
      <c r="Q308" s="150"/>
      <c r="R308" s="150"/>
      <c r="S308" s="150"/>
      <c r="T308" s="150"/>
      <c r="U308" s="150"/>
      <c r="V308" s="150"/>
      <c r="W308" s="150"/>
      <c r="X308" s="150"/>
    </row>
    <row r="309">
      <c r="A309" s="150"/>
      <c r="B309" s="182"/>
      <c r="C309" s="217"/>
      <c r="D309" s="150"/>
      <c r="E309" s="150"/>
      <c r="F309" s="150"/>
      <c r="G309" s="150"/>
      <c r="H309" s="150"/>
      <c r="I309" s="150"/>
      <c r="J309" s="150"/>
      <c r="K309" s="150"/>
      <c r="L309" s="150"/>
      <c r="M309" s="150"/>
      <c r="N309" s="150"/>
      <c r="O309" s="150"/>
      <c r="P309" s="150"/>
      <c r="Q309" s="150"/>
      <c r="R309" s="150"/>
      <c r="S309" s="150"/>
      <c r="T309" s="150"/>
      <c r="U309" s="150"/>
      <c r="V309" s="150"/>
      <c r="W309" s="150"/>
      <c r="X309" s="150"/>
    </row>
    <row r="310">
      <c r="A310" s="150"/>
      <c r="B310" s="182"/>
      <c r="C310" s="217"/>
      <c r="D310" s="150"/>
      <c r="E310" s="150"/>
      <c r="F310" s="150"/>
      <c r="G310" s="150"/>
      <c r="H310" s="150"/>
      <c r="I310" s="150"/>
      <c r="J310" s="150"/>
      <c r="K310" s="150"/>
      <c r="L310" s="150"/>
      <c r="M310" s="150"/>
      <c r="N310" s="150"/>
      <c r="O310" s="150"/>
      <c r="P310" s="150"/>
      <c r="Q310" s="150"/>
      <c r="R310" s="150"/>
      <c r="S310" s="150"/>
      <c r="T310" s="150"/>
      <c r="U310" s="150"/>
      <c r="V310" s="150"/>
      <c r="W310" s="150"/>
      <c r="X310" s="150"/>
    </row>
    <row r="311">
      <c r="A311" s="150"/>
      <c r="B311" s="182"/>
      <c r="C311" s="217"/>
      <c r="D311" s="150"/>
      <c r="E311" s="150"/>
      <c r="F311" s="150"/>
      <c r="G311" s="150"/>
      <c r="H311" s="150"/>
      <c r="I311" s="150"/>
      <c r="J311" s="150"/>
      <c r="K311" s="150"/>
      <c r="L311" s="150"/>
      <c r="M311" s="150"/>
      <c r="N311" s="150"/>
      <c r="O311" s="150"/>
      <c r="P311" s="150"/>
      <c r="Q311" s="150"/>
      <c r="R311" s="150"/>
      <c r="S311" s="150"/>
      <c r="T311" s="150"/>
      <c r="U311" s="150"/>
      <c r="V311" s="150"/>
      <c r="W311" s="150"/>
      <c r="X311" s="150"/>
    </row>
    <row r="312">
      <c r="A312" s="150"/>
      <c r="B312" s="182"/>
      <c r="C312" s="217"/>
      <c r="D312" s="150"/>
      <c r="E312" s="150"/>
      <c r="F312" s="150"/>
      <c r="G312" s="150"/>
      <c r="H312" s="150"/>
      <c r="I312" s="150"/>
      <c r="J312" s="150"/>
      <c r="K312" s="150"/>
      <c r="L312" s="150"/>
      <c r="M312" s="150"/>
      <c r="N312" s="150"/>
      <c r="O312" s="150"/>
      <c r="P312" s="150"/>
      <c r="Q312" s="150"/>
      <c r="R312" s="150"/>
      <c r="S312" s="150"/>
      <c r="T312" s="150"/>
      <c r="U312" s="150"/>
      <c r="V312" s="150"/>
      <c r="W312" s="150"/>
      <c r="X312" s="150"/>
    </row>
    <row r="313">
      <c r="A313" s="150"/>
      <c r="B313" s="182"/>
      <c r="C313" s="217"/>
      <c r="D313" s="150"/>
      <c r="E313" s="150"/>
      <c r="F313" s="150"/>
      <c r="G313" s="150"/>
      <c r="H313" s="150"/>
      <c r="I313" s="150"/>
      <c r="J313" s="150"/>
      <c r="K313" s="150"/>
      <c r="L313" s="150"/>
      <c r="M313" s="150"/>
      <c r="N313" s="150"/>
      <c r="O313" s="150"/>
      <c r="P313" s="150"/>
      <c r="Q313" s="150"/>
      <c r="R313" s="150"/>
      <c r="S313" s="150"/>
      <c r="T313" s="150"/>
      <c r="U313" s="150"/>
      <c r="V313" s="150"/>
      <c r="W313" s="150"/>
      <c r="X313" s="150"/>
    </row>
    <row r="314">
      <c r="A314" s="150"/>
      <c r="B314" s="182"/>
      <c r="C314" s="217"/>
      <c r="D314" s="150"/>
      <c r="E314" s="150"/>
      <c r="F314" s="150"/>
      <c r="G314" s="150"/>
      <c r="H314" s="150"/>
      <c r="I314" s="150"/>
      <c r="J314" s="150"/>
      <c r="K314" s="150"/>
      <c r="L314" s="150"/>
      <c r="M314" s="150"/>
      <c r="N314" s="150"/>
      <c r="O314" s="150"/>
      <c r="P314" s="150"/>
      <c r="Q314" s="150"/>
      <c r="R314" s="150"/>
      <c r="S314" s="150"/>
      <c r="T314" s="150"/>
      <c r="U314" s="150"/>
      <c r="V314" s="150"/>
      <c r="W314" s="150"/>
      <c r="X314" s="150"/>
    </row>
    <row r="315">
      <c r="A315" s="150"/>
      <c r="B315" s="182"/>
      <c r="C315" s="217"/>
      <c r="D315" s="150"/>
      <c r="E315" s="150"/>
      <c r="F315" s="150"/>
      <c r="G315" s="150"/>
      <c r="H315" s="150"/>
      <c r="I315" s="150"/>
      <c r="J315" s="150"/>
      <c r="K315" s="150"/>
      <c r="L315" s="150"/>
      <c r="M315" s="150"/>
      <c r="N315" s="150"/>
      <c r="O315" s="150"/>
      <c r="P315" s="150"/>
      <c r="Q315" s="150"/>
      <c r="R315" s="150"/>
      <c r="S315" s="150"/>
      <c r="T315" s="150"/>
      <c r="U315" s="150"/>
      <c r="V315" s="150"/>
      <c r="W315" s="150"/>
      <c r="X315" s="150"/>
    </row>
    <row r="316">
      <c r="A316" s="150"/>
      <c r="B316" s="182"/>
      <c r="C316" s="217"/>
      <c r="D316" s="150"/>
      <c r="E316" s="150"/>
      <c r="F316" s="150"/>
      <c r="G316" s="150"/>
      <c r="H316" s="150"/>
      <c r="I316" s="150"/>
      <c r="J316" s="150"/>
      <c r="K316" s="150"/>
      <c r="L316" s="150"/>
      <c r="M316" s="150"/>
      <c r="N316" s="150"/>
      <c r="O316" s="150"/>
      <c r="P316" s="150"/>
      <c r="Q316" s="150"/>
      <c r="R316" s="150"/>
      <c r="S316" s="150"/>
      <c r="T316" s="150"/>
      <c r="U316" s="150"/>
      <c r="V316" s="150"/>
      <c r="W316" s="150"/>
      <c r="X316" s="150"/>
    </row>
    <row r="317">
      <c r="A317" s="150"/>
      <c r="B317" s="182"/>
      <c r="C317" s="217"/>
      <c r="D317" s="150"/>
      <c r="E317" s="150"/>
      <c r="F317" s="150"/>
      <c r="G317" s="150"/>
      <c r="H317" s="150"/>
      <c r="I317" s="150"/>
      <c r="J317" s="150"/>
      <c r="K317" s="150"/>
      <c r="L317" s="150"/>
      <c r="M317" s="150"/>
      <c r="N317" s="150"/>
      <c r="O317" s="150"/>
      <c r="P317" s="150"/>
      <c r="Q317" s="150"/>
      <c r="R317" s="150"/>
      <c r="S317" s="150"/>
      <c r="T317" s="150"/>
      <c r="U317" s="150"/>
      <c r="V317" s="150"/>
      <c r="W317" s="150"/>
      <c r="X317" s="150"/>
    </row>
    <row r="318">
      <c r="A318" s="150"/>
      <c r="B318" s="182"/>
      <c r="C318" s="217"/>
      <c r="D318" s="150"/>
      <c r="E318" s="150"/>
      <c r="F318" s="150"/>
      <c r="G318" s="150"/>
      <c r="H318" s="150"/>
      <c r="I318" s="150"/>
      <c r="J318" s="150"/>
      <c r="K318" s="150"/>
      <c r="L318" s="150"/>
      <c r="M318" s="150"/>
      <c r="N318" s="150"/>
      <c r="O318" s="150"/>
      <c r="P318" s="150"/>
      <c r="Q318" s="150"/>
      <c r="R318" s="150"/>
      <c r="S318" s="150"/>
      <c r="T318" s="150"/>
      <c r="U318" s="150"/>
      <c r="V318" s="150"/>
      <c r="W318" s="150"/>
      <c r="X318" s="150"/>
    </row>
    <row r="319">
      <c r="A319" s="150"/>
      <c r="B319" s="182"/>
      <c r="C319" s="217"/>
      <c r="D319" s="150"/>
      <c r="E319" s="150"/>
      <c r="F319" s="150"/>
      <c r="G319" s="150"/>
      <c r="H319" s="150"/>
      <c r="I319" s="150"/>
      <c r="J319" s="150"/>
      <c r="K319" s="150"/>
      <c r="L319" s="150"/>
      <c r="M319" s="150"/>
      <c r="N319" s="150"/>
      <c r="O319" s="150"/>
      <c r="P319" s="150"/>
      <c r="Q319" s="150"/>
      <c r="R319" s="150"/>
      <c r="S319" s="150"/>
      <c r="T319" s="150"/>
      <c r="U319" s="150"/>
      <c r="V319" s="150"/>
      <c r="W319" s="150"/>
      <c r="X319" s="150"/>
    </row>
    <row r="320">
      <c r="A320" s="150"/>
      <c r="B320" s="182"/>
      <c r="C320" s="217"/>
      <c r="D320" s="150"/>
      <c r="E320" s="150"/>
      <c r="F320" s="150"/>
      <c r="G320" s="150"/>
      <c r="H320" s="150"/>
      <c r="I320" s="150"/>
      <c r="J320" s="150"/>
      <c r="K320" s="150"/>
      <c r="L320" s="150"/>
      <c r="M320" s="150"/>
      <c r="N320" s="150"/>
      <c r="O320" s="150"/>
      <c r="P320" s="150"/>
      <c r="Q320" s="150"/>
      <c r="R320" s="150"/>
      <c r="S320" s="150"/>
      <c r="T320" s="150"/>
      <c r="U320" s="150"/>
      <c r="V320" s="150"/>
      <c r="W320" s="150"/>
      <c r="X320" s="150"/>
    </row>
    <row r="321">
      <c r="A321" s="150"/>
      <c r="B321" s="182"/>
      <c r="C321" s="217"/>
      <c r="D321" s="150"/>
      <c r="E321" s="150"/>
      <c r="F321" s="150"/>
      <c r="G321" s="150"/>
      <c r="H321" s="150"/>
      <c r="I321" s="150"/>
      <c r="J321" s="150"/>
      <c r="K321" s="150"/>
      <c r="L321" s="150"/>
      <c r="M321" s="150"/>
      <c r="N321" s="150"/>
      <c r="O321" s="150"/>
      <c r="P321" s="150"/>
      <c r="Q321" s="150"/>
      <c r="R321" s="150"/>
      <c r="S321" s="150"/>
      <c r="T321" s="150"/>
      <c r="U321" s="150"/>
      <c r="V321" s="150"/>
      <c r="W321" s="150"/>
      <c r="X321" s="150"/>
    </row>
    <row r="322">
      <c r="A322" s="150"/>
      <c r="B322" s="182"/>
      <c r="C322" s="217"/>
      <c r="D322" s="150"/>
      <c r="E322" s="150"/>
      <c r="F322" s="150"/>
      <c r="G322" s="150"/>
      <c r="H322" s="150"/>
      <c r="I322" s="150"/>
      <c r="J322" s="150"/>
      <c r="K322" s="150"/>
      <c r="L322" s="150"/>
      <c r="M322" s="150"/>
      <c r="N322" s="150"/>
      <c r="O322" s="150"/>
      <c r="P322" s="150"/>
      <c r="Q322" s="150"/>
      <c r="R322" s="150"/>
      <c r="S322" s="150"/>
      <c r="T322" s="150"/>
      <c r="U322" s="150"/>
      <c r="V322" s="150"/>
      <c r="W322" s="150"/>
      <c r="X322" s="150"/>
    </row>
    <row r="323">
      <c r="A323" s="150"/>
      <c r="B323" s="182"/>
      <c r="C323" s="217"/>
      <c r="D323" s="150"/>
      <c r="E323" s="150"/>
      <c r="F323" s="150"/>
      <c r="G323" s="150"/>
      <c r="H323" s="150"/>
      <c r="I323" s="150"/>
      <c r="J323" s="150"/>
      <c r="K323" s="150"/>
      <c r="L323" s="150"/>
      <c r="M323" s="150"/>
      <c r="N323" s="150"/>
      <c r="O323" s="150"/>
      <c r="P323" s="150"/>
      <c r="Q323" s="150"/>
      <c r="R323" s="150"/>
      <c r="S323" s="150"/>
      <c r="T323" s="150"/>
      <c r="U323" s="150"/>
      <c r="V323" s="150"/>
      <c r="W323" s="150"/>
      <c r="X323" s="150"/>
    </row>
    <row r="324">
      <c r="A324" s="150"/>
      <c r="B324" s="182"/>
      <c r="C324" s="217"/>
      <c r="D324" s="150"/>
      <c r="E324" s="150"/>
      <c r="F324" s="150"/>
      <c r="G324" s="150"/>
      <c r="H324" s="150"/>
      <c r="I324" s="150"/>
      <c r="J324" s="150"/>
      <c r="K324" s="150"/>
      <c r="L324" s="150"/>
      <c r="M324" s="150"/>
      <c r="N324" s="150"/>
      <c r="O324" s="150"/>
      <c r="P324" s="150"/>
      <c r="Q324" s="150"/>
      <c r="R324" s="150"/>
      <c r="S324" s="150"/>
      <c r="T324" s="150"/>
      <c r="U324" s="150"/>
      <c r="V324" s="150"/>
      <c r="W324" s="150"/>
      <c r="X324" s="150"/>
    </row>
    <row r="325">
      <c r="A325" s="150"/>
      <c r="B325" s="182"/>
      <c r="C325" s="217"/>
      <c r="D325" s="150"/>
      <c r="E325" s="150"/>
      <c r="F325" s="150"/>
      <c r="G325" s="150"/>
      <c r="H325" s="150"/>
      <c r="I325" s="150"/>
      <c r="J325" s="150"/>
      <c r="K325" s="150"/>
      <c r="L325" s="150"/>
      <c r="M325" s="150"/>
      <c r="N325" s="150"/>
      <c r="O325" s="150"/>
      <c r="P325" s="150"/>
      <c r="Q325" s="150"/>
      <c r="R325" s="150"/>
      <c r="S325" s="150"/>
      <c r="T325" s="150"/>
      <c r="U325" s="150"/>
      <c r="V325" s="150"/>
      <c r="W325" s="150"/>
      <c r="X325" s="150"/>
    </row>
    <row r="326">
      <c r="A326" s="150"/>
      <c r="B326" s="182"/>
      <c r="C326" s="217"/>
      <c r="D326" s="150"/>
      <c r="E326" s="150"/>
      <c r="F326" s="150"/>
      <c r="G326" s="150"/>
      <c r="H326" s="150"/>
      <c r="I326" s="150"/>
      <c r="J326" s="150"/>
      <c r="K326" s="150"/>
      <c r="L326" s="150"/>
      <c r="M326" s="150"/>
      <c r="N326" s="150"/>
      <c r="O326" s="150"/>
      <c r="P326" s="150"/>
      <c r="Q326" s="150"/>
      <c r="R326" s="150"/>
      <c r="S326" s="150"/>
      <c r="T326" s="150"/>
      <c r="U326" s="150"/>
      <c r="V326" s="150"/>
      <c r="W326" s="150"/>
      <c r="X326" s="150"/>
    </row>
    <row r="327">
      <c r="A327" s="150"/>
      <c r="B327" s="182"/>
      <c r="C327" s="217"/>
      <c r="D327" s="150"/>
      <c r="E327" s="150"/>
      <c r="F327" s="150"/>
      <c r="G327" s="150"/>
      <c r="H327" s="150"/>
      <c r="I327" s="150"/>
      <c r="J327" s="150"/>
      <c r="K327" s="150"/>
      <c r="L327" s="150"/>
      <c r="M327" s="150"/>
      <c r="N327" s="150"/>
      <c r="O327" s="150"/>
      <c r="P327" s="150"/>
      <c r="Q327" s="150"/>
      <c r="R327" s="150"/>
      <c r="S327" s="150"/>
      <c r="T327" s="150"/>
      <c r="U327" s="150"/>
      <c r="V327" s="150"/>
      <c r="W327" s="150"/>
      <c r="X327" s="150"/>
    </row>
    <row r="328">
      <c r="A328" s="150"/>
      <c r="B328" s="182"/>
      <c r="C328" s="217"/>
      <c r="D328" s="150"/>
      <c r="E328" s="150"/>
      <c r="F328" s="150"/>
      <c r="G328" s="150"/>
      <c r="H328" s="150"/>
      <c r="I328" s="150"/>
      <c r="J328" s="150"/>
      <c r="K328" s="150"/>
      <c r="L328" s="150"/>
      <c r="M328" s="150"/>
      <c r="N328" s="150"/>
      <c r="O328" s="150"/>
      <c r="P328" s="150"/>
      <c r="Q328" s="150"/>
      <c r="R328" s="150"/>
      <c r="S328" s="150"/>
      <c r="T328" s="150"/>
      <c r="U328" s="150"/>
      <c r="V328" s="150"/>
      <c r="W328" s="150"/>
      <c r="X328" s="150"/>
    </row>
    <row r="329">
      <c r="A329" s="150"/>
      <c r="B329" s="182"/>
      <c r="C329" s="217"/>
      <c r="D329" s="150"/>
      <c r="E329" s="150"/>
      <c r="F329" s="150"/>
      <c r="G329" s="150"/>
      <c r="H329" s="150"/>
      <c r="I329" s="150"/>
      <c r="J329" s="150"/>
      <c r="K329" s="150"/>
      <c r="L329" s="150"/>
      <c r="M329" s="150"/>
      <c r="N329" s="150"/>
      <c r="O329" s="150"/>
      <c r="P329" s="150"/>
      <c r="Q329" s="150"/>
      <c r="R329" s="150"/>
      <c r="S329" s="150"/>
      <c r="T329" s="150"/>
      <c r="U329" s="150"/>
      <c r="V329" s="150"/>
      <c r="W329" s="150"/>
      <c r="X329" s="150"/>
    </row>
    <row r="330">
      <c r="A330" s="150"/>
      <c r="B330" s="182"/>
      <c r="C330" s="217"/>
      <c r="D330" s="150"/>
      <c r="E330" s="150"/>
      <c r="F330" s="150"/>
      <c r="G330" s="150"/>
      <c r="H330" s="150"/>
      <c r="I330" s="150"/>
      <c r="J330" s="150"/>
      <c r="K330" s="150"/>
      <c r="L330" s="150"/>
      <c r="M330" s="150"/>
      <c r="N330" s="150"/>
      <c r="O330" s="150"/>
      <c r="P330" s="150"/>
      <c r="Q330" s="150"/>
      <c r="R330" s="150"/>
      <c r="S330" s="150"/>
      <c r="T330" s="150"/>
      <c r="U330" s="150"/>
      <c r="V330" s="150"/>
      <c r="W330" s="150"/>
      <c r="X330" s="150"/>
    </row>
    <row r="331">
      <c r="A331" s="150"/>
      <c r="B331" s="182"/>
      <c r="C331" s="217"/>
      <c r="D331" s="150"/>
      <c r="E331" s="150"/>
      <c r="F331" s="150"/>
      <c r="G331" s="150"/>
      <c r="H331" s="150"/>
      <c r="I331" s="150"/>
      <c r="J331" s="150"/>
      <c r="K331" s="150"/>
      <c r="L331" s="150"/>
      <c r="M331" s="150"/>
      <c r="N331" s="150"/>
      <c r="O331" s="150"/>
      <c r="P331" s="150"/>
      <c r="Q331" s="150"/>
      <c r="R331" s="150"/>
      <c r="S331" s="150"/>
      <c r="T331" s="150"/>
      <c r="U331" s="150"/>
      <c r="V331" s="150"/>
      <c r="W331" s="150"/>
      <c r="X331" s="150"/>
    </row>
    <row r="332">
      <c r="A332" s="150"/>
      <c r="B332" s="182"/>
      <c r="C332" s="217"/>
      <c r="D332" s="150"/>
      <c r="E332" s="150"/>
      <c r="F332" s="150"/>
      <c r="G332" s="150"/>
      <c r="H332" s="150"/>
      <c r="I332" s="150"/>
      <c r="J332" s="150"/>
      <c r="K332" s="150"/>
      <c r="L332" s="150"/>
      <c r="M332" s="150"/>
      <c r="N332" s="150"/>
      <c r="O332" s="150"/>
      <c r="P332" s="150"/>
      <c r="Q332" s="150"/>
      <c r="R332" s="150"/>
      <c r="S332" s="150"/>
      <c r="T332" s="150"/>
      <c r="U332" s="150"/>
      <c r="V332" s="150"/>
      <c r="W332" s="150"/>
      <c r="X332" s="150"/>
    </row>
    <row r="333">
      <c r="A333" s="150"/>
      <c r="B333" s="182"/>
      <c r="C333" s="217"/>
      <c r="D333" s="150"/>
      <c r="E333" s="150"/>
      <c r="F333" s="150"/>
      <c r="G333" s="150"/>
      <c r="H333" s="150"/>
      <c r="I333" s="150"/>
      <c r="J333" s="150"/>
      <c r="K333" s="150"/>
      <c r="L333" s="150"/>
      <c r="M333" s="150"/>
      <c r="N333" s="150"/>
      <c r="O333" s="150"/>
      <c r="P333" s="150"/>
      <c r="Q333" s="150"/>
      <c r="R333" s="150"/>
      <c r="S333" s="150"/>
      <c r="T333" s="150"/>
      <c r="U333" s="150"/>
      <c r="V333" s="150"/>
      <c r="W333" s="150"/>
      <c r="X333" s="150"/>
    </row>
    <row r="334">
      <c r="A334" s="150"/>
      <c r="B334" s="182"/>
      <c r="C334" s="217"/>
      <c r="D334" s="150"/>
      <c r="E334" s="150"/>
      <c r="F334" s="150"/>
      <c r="G334" s="150"/>
      <c r="H334" s="150"/>
      <c r="I334" s="150"/>
      <c r="J334" s="150"/>
      <c r="K334" s="150"/>
      <c r="L334" s="150"/>
      <c r="M334" s="150"/>
      <c r="N334" s="150"/>
      <c r="O334" s="150"/>
      <c r="P334" s="150"/>
      <c r="Q334" s="150"/>
      <c r="R334" s="150"/>
      <c r="S334" s="150"/>
      <c r="T334" s="150"/>
      <c r="U334" s="150"/>
      <c r="V334" s="150"/>
      <c r="W334" s="150"/>
      <c r="X334" s="150"/>
    </row>
    <row r="335">
      <c r="A335" s="150"/>
      <c r="B335" s="182"/>
      <c r="C335" s="217"/>
      <c r="D335" s="150"/>
      <c r="E335" s="150"/>
      <c r="F335" s="150"/>
      <c r="G335" s="150"/>
      <c r="H335" s="150"/>
      <c r="I335" s="150"/>
      <c r="J335" s="150"/>
      <c r="K335" s="150"/>
      <c r="L335" s="150"/>
      <c r="M335" s="150"/>
      <c r="N335" s="150"/>
      <c r="O335" s="150"/>
      <c r="P335" s="150"/>
      <c r="Q335" s="150"/>
      <c r="R335" s="150"/>
      <c r="S335" s="150"/>
      <c r="T335" s="150"/>
      <c r="U335" s="150"/>
      <c r="V335" s="150"/>
      <c r="W335" s="150"/>
      <c r="X335" s="150"/>
    </row>
    <row r="336">
      <c r="A336" s="150"/>
      <c r="B336" s="182"/>
      <c r="C336" s="217"/>
      <c r="D336" s="150"/>
      <c r="E336" s="150"/>
      <c r="F336" s="150"/>
      <c r="G336" s="150"/>
      <c r="H336" s="150"/>
      <c r="I336" s="150"/>
      <c r="J336" s="150"/>
      <c r="K336" s="150"/>
      <c r="L336" s="150"/>
      <c r="M336" s="150"/>
      <c r="N336" s="150"/>
      <c r="O336" s="150"/>
      <c r="P336" s="150"/>
      <c r="Q336" s="150"/>
      <c r="R336" s="150"/>
      <c r="S336" s="150"/>
      <c r="T336" s="150"/>
      <c r="U336" s="150"/>
      <c r="V336" s="150"/>
      <c r="W336" s="150"/>
      <c r="X336" s="150"/>
    </row>
    <row r="337">
      <c r="A337" s="150"/>
      <c r="B337" s="182"/>
      <c r="C337" s="217"/>
      <c r="D337" s="150"/>
      <c r="E337" s="150"/>
      <c r="F337" s="150"/>
      <c r="G337" s="150"/>
      <c r="H337" s="150"/>
      <c r="I337" s="150"/>
      <c r="J337" s="150"/>
      <c r="K337" s="150"/>
      <c r="L337" s="150"/>
      <c r="M337" s="150"/>
      <c r="N337" s="150"/>
      <c r="O337" s="150"/>
      <c r="P337" s="150"/>
      <c r="Q337" s="150"/>
      <c r="R337" s="150"/>
      <c r="S337" s="150"/>
      <c r="T337" s="150"/>
      <c r="U337" s="150"/>
      <c r="V337" s="150"/>
      <c r="W337" s="150"/>
      <c r="X337" s="150"/>
    </row>
    <row r="338">
      <c r="A338" s="150"/>
      <c r="B338" s="182"/>
      <c r="C338" s="217"/>
      <c r="D338" s="150"/>
      <c r="E338" s="150"/>
      <c r="F338" s="150"/>
      <c r="G338" s="150"/>
      <c r="H338" s="150"/>
      <c r="I338" s="150"/>
      <c r="J338" s="150"/>
      <c r="K338" s="150"/>
      <c r="L338" s="150"/>
      <c r="M338" s="150"/>
      <c r="N338" s="150"/>
      <c r="O338" s="150"/>
      <c r="P338" s="150"/>
      <c r="Q338" s="150"/>
      <c r="R338" s="150"/>
      <c r="S338" s="150"/>
      <c r="T338" s="150"/>
      <c r="U338" s="150"/>
      <c r="V338" s="150"/>
      <c r="W338" s="150"/>
      <c r="X338" s="150"/>
    </row>
    <row r="339">
      <c r="A339" s="150"/>
      <c r="B339" s="182"/>
      <c r="C339" s="217"/>
      <c r="D339" s="150"/>
      <c r="E339" s="150"/>
      <c r="F339" s="150"/>
      <c r="G339" s="150"/>
      <c r="H339" s="150"/>
      <c r="I339" s="150"/>
      <c r="J339" s="150"/>
      <c r="K339" s="150"/>
      <c r="L339" s="150"/>
      <c r="M339" s="150"/>
      <c r="N339" s="150"/>
      <c r="O339" s="150"/>
      <c r="P339" s="150"/>
      <c r="Q339" s="150"/>
      <c r="R339" s="150"/>
      <c r="S339" s="150"/>
      <c r="T339" s="150"/>
      <c r="U339" s="150"/>
      <c r="V339" s="150"/>
      <c r="W339" s="150"/>
      <c r="X339" s="150"/>
    </row>
    <row r="340">
      <c r="A340" s="150"/>
      <c r="B340" s="182"/>
      <c r="C340" s="217"/>
      <c r="D340" s="150"/>
      <c r="E340" s="150"/>
      <c r="F340" s="150"/>
      <c r="G340" s="150"/>
      <c r="H340" s="150"/>
      <c r="I340" s="150"/>
      <c r="J340" s="150"/>
      <c r="K340" s="150"/>
      <c r="L340" s="150"/>
      <c r="M340" s="150"/>
      <c r="N340" s="150"/>
      <c r="O340" s="150"/>
      <c r="P340" s="150"/>
      <c r="Q340" s="150"/>
      <c r="R340" s="150"/>
      <c r="S340" s="150"/>
      <c r="T340" s="150"/>
      <c r="U340" s="150"/>
      <c r="V340" s="150"/>
      <c r="W340" s="150"/>
      <c r="X340" s="150"/>
    </row>
    <row r="341">
      <c r="A341" s="150"/>
      <c r="B341" s="182"/>
      <c r="C341" s="217"/>
      <c r="D341" s="150"/>
      <c r="E341" s="150"/>
      <c r="F341" s="150"/>
      <c r="G341" s="150"/>
      <c r="H341" s="150"/>
      <c r="I341" s="150"/>
      <c r="J341" s="150"/>
      <c r="K341" s="150"/>
      <c r="L341" s="150"/>
      <c r="M341" s="150"/>
      <c r="N341" s="150"/>
      <c r="O341" s="150"/>
      <c r="P341" s="150"/>
      <c r="Q341" s="150"/>
      <c r="R341" s="150"/>
      <c r="S341" s="150"/>
      <c r="T341" s="150"/>
      <c r="U341" s="150"/>
      <c r="V341" s="150"/>
      <c r="W341" s="150"/>
      <c r="X341" s="150"/>
    </row>
    <row r="342">
      <c r="A342" s="150"/>
      <c r="B342" s="182"/>
      <c r="C342" s="217"/>
      <c r="D342" s="150"/>
      <c r="E342" s="150"/>
      <c r="F342" s="150"/>
      <c r="G342" s="150"/>
      <c r="H342" s="150"/>
      <c r="I342" s="150"/>
      <c r="J342" s="150"/>
      <c r="K342" s="150"/>
      <c r="L342" s="150"/>
      <c r="M342" s="150"/>
      <c r="N342" s="150"/>
      <c r="O342" s="150"/>
      <c r="P342" s="150"/>
      <c r="Q342" s="150"/>
      <c r="R342" s="150"/>
      <c r="S342" s="150"/>
      <c r="T342" s="150"/>
      <c r="U342" s="150"/>
      <c r="V342" s="150"/>
      <c r="W342" s="150"/>
      <c r="X342" s="150"/>
    </row>
    <row r="343">
      <c r="A343" s="150"/>
      <c r="B343" s="182"/>
      <c r="C343" s="217"/>
      <c r="D343" s="150"/>
      <c r="E343" s="150"/>
      <c r="F343" s="150"/>
      <c r="G343" s="150"/>
      <c r="H343" s="150"/>
      <c r="I343" s="150"/>
      <c r="J343" s="150"/>
      <c r="K343" s="150"/>
      <c r="L343" s="150"/>
      <c r="M343" s="150"/>
      <c r="N343" s="150"/>
      <c r="O343" s="150"/>
      <c r="P343" s="150"/>
      <c r="Q343" s="150"/>
      <c r="R343" s="150"/>
      <c r="S343" s="150"/>
      <c r="T343" s="150"/>
      <c r="U343" s="150"/>
      <c r="V343" s="150"/>
      <c r="W343" s="150"/>
      <c r="X343" s="150"/>
    </row>
    <row r="344">
      <c r="A344" s="150"/>
      <c r="B344" s="182"/>
      <c r="C344" s="217"/>
      <c r="D344" s="150"/>
      <c r="E344" s="150"/>
      <c r="F344" s="150"/>
      <c r="G344" s="150"/>
      <c r="H344" s="150"/>
      <c r="I344" s="150"/>
      <c r="J344" s="150"/>
      <c r="K344" s="150"/>
      <c r="L344" s="150"/>
      <c r="M344" s="150"/>
      <c r="N344" s="150"/>
      <c r="O344" s="150"/>
      <c r="P344" s="150"/>
      <c r="Q344" s="150"/>
      <c r="R344" s="150"/>
      <c r="S344" s="150"/>
      <c r="T344" s="150"/>
      <c r="U344" s="150"/>
      <c r="V344" s="150"/>
      <c r="W344" s="150"/>
      <c r="X344" s="150"/>
    </row>
    <row r="345">
      <c r="A345" s="150"/>
      <c r="B345" s="182"/>
      <c r="C345" s="217"/>
      <c r="D345" s="150"/>
      <c r="E345" s="150"/>
      <c r="F345" s="150"/>
      <c r="G345" s="150"/>
      <c r="H345" s="150"/>
      <c r="I345" s="150"/>
      <c r="J345" s="150"/>
      <c r="K345" s="150"/>
      <c r="L345" s="150"/>
      <c r="M345" s="150"/>
      <c r="N345" s="150"/>
      <c r="O345" s="150"/>
      <c r="P345" s="150"/>
      <c r="Q345" s="150"/>
      <c r="R345" s="150"/>
      <c r="S345" s="150"/>
      <c r="T345" s="150"/>
      <c r="U345" s="150"/>
      <c r="V345" s="150"/>
      <c r="W345" s="150"/>
      <c r="X345" s="150"/>
    </row>
    <row r="346">
      <c r="A346" s="150"/>
      <c r="B346" s="182"/>
      <c r="C346" s="217"/>
      <c r="D346" s="150"/>
      <c r="E346" s="150"/>
      <c r="F346" s="150"/>
      <c r="G346" s="150"/>
      <c r="H346" s="150"/>
      <c r="I346" s="150"/>
      <c r="J346" s="150"/>
      <c r="K346" s="150"/>
      <c r="L346" s="150"/>
      <c r="M346" s="150"/>
      <c r="N346" s="150"/>
      <c r="O346" s="150"/>
      <c r="P346" s="150"/>
      <c r="Q346" s="150"/>
      <c r="R346" s="150"/>
      <c r="S346" s="150"/>
      <c r="T346" s="150"/>
      <c r="U346" s="150"/>
      <c r="V346" s="150"/>
      <c r="W346" s="150"/>
      <c r="X346" s="150"/>
    </row>
    <row r="347">
      <c r="A347" s="150"/>
      <c r="B347" s="182"/>
      <c r="C347" s="217"/>
      <c r="D347" s="150"/>
      <c r="E347" s="150"/>
      <c r="F347" s="150"/>
      <c r="G347" s="150"/>
      <c r="H347" s="150"/>
      <c r="I347" s="150"/>
      <c r="J347" s="150"/>
      <c r="K347" s="150"/>
      <c r="L347" s="150"/>
      <c r="M347" s="150"/>
      <c r="N347" s="150"/>
      <c r="O347" s="150"/>
      <c r="P347" s="150"/>
      <c r="Q347" s="150"/>
      <c r="R347" s="150"/>
      <c r="S347" s="150"/>
      <c r="T347" s="150"/>
      <c r="U347" s="150"/>
      <c r="V347" s="150"/>
      <c r="W347" s="150"/>
      <c r="X347" s="150"/>
    </row>
    <row r="348">
      <c r="A348" s="150"/>
      <c r="B348" s="182"/>
      <c r="C348" s="217"/>
      <c r="D348" s="150"/>
      <c r="E348" s="150"/>
      <c r="F348" s="150"/>
      <c r="G348" s="150"/>
      <c r="H348" s="150"/>
      <c r="I348" s="150"/>
      <c r="J348" s="150"/>
      <c r="K348" s="150"/>
      <c r="L348" s="150"/>
      <c r="M348" s="150"/>
      <c r="N348" s="150"/>
      <c r="O348" s="150"/>
      <c r="P348" s="150"/>
      <c r="Q348" s="150"/>
      <c r="R348" s="150"/>
      <c r="S348" s="150"/>
      <c r="T348" s="150"/>
      <c r="U348" s="150"/>
      <c r="V348" s="150"/>
      <c r="W348" s="150"/>
      <c r="X348" s="150"/>
    </row>
    <row r="349">
      <c r="A349" s="150"/>
      <c r="B349" s="182"/>
      <c r="C349" s="217"/>
      <c r="D349" s="150"/>
      <c r="E349" s="150"/>
      <c r="F349" s="150"/>
      <c r="G349" s="150"/>
      <c r="H349" s="150"/>
      <c r="I349" s="150"/>
      <c r="J349" s="150"/>
      <c r="K349" s="150"/>
      <c r="L349" s="150"/>
      <c r="M349" s="150"/>
      <c r="N349" s="150"/>
      <c r="O349" s="150"/>
      <c r="P349" s="150"/>
      <c r="Q349" s="150"/>
      <c r="R349" s="150"/>
      <c r="S349" s="150"/>
      <c r="T349" s="150"/>
      <c r="U349" s="150"/>
      <c r="V349" s="150"/>
      <c r="W349" s="150"/>
      <c r="X349" s="150"/>
    </row>
    <row r="350">
      <c r="A350" s="150"/>
      <c r="B350" s="182"/>
      <c r="C350" s="217"/>
      <c r="D350" s="150"/>
      <c r="E350" s="150"/>
      <c r="F350" s="150"/>
      <c r="G350" s="150"/>
      <c r="H350" s="150"/>
      <c r="I350" s="150"/>
      <c r="J350" s="150"/>
      <c r="K350" s="150"/>
      <c r="L350" s="150"/>
      <c r="M350" s="150"/>
      <c r="N350" s="150"/>
      <c r="O350" s="150"/>
      <c r="P350" s="150"/>
      <c r="Q350" s="150"/>
      <c r="R350" s="150"/>
      <c r="S350" s="150"/>
      <c r="T350" s="150"/>
      <c r="U350" s="150"/>
      <c r="V350" s="150"/>
      <c r="W350" s="150"/>
      <c r="X350" s="150"/>
    </row>
    <row r="351">
      <c r="A351" s="150"/>
      <c r="B351" s="182"/>
      <c r="C351" s="217"/>
      <c r="D351" s="150"/>
      <c r="E351" s="150"/>
      <c r="F351" s="150"/>
      <c r="G351" s="150"/>
      <c r="H351" s="150"/>
      <c r="I351" s="150"/>
      <c r="J351" s="150"/>
      <c r="K351" s="150"/>
      <c r="L351" s="150"/>
      <c r="M351" s="150"/>
      <c r="N351" s="150"/>
      <c r="O351" s="150"/>
      <c r="P351" s="150"/>
      <c r="Q351" s="150"/>
      <c r="R351" s="150"/>
      <c r="S351" s="150"/>
      <c r="T351" s="150"/>
      <c r="U351" s="150"/>
      <c r="V351" s="150"/>
      <c r="W351" s="150"/>
      <c r="X351" s="150"/>
    </row>
    <row r="352">
      <c r="A352" s="150"/>
      <c r="B352" s="182"/>
      <c r="C352" s="217"/>
      <c r="D352" s="150"/>
      <c r="E352" s="150"/>
      <c r="F352" s="150"/>
      <c r="G352" s="150"/>
      <c r="H352" s="150"/>
      <c r="I352" s="150"/>
      <c r="J352" s="150"/>
      <c r="K352" s="150"/>
      <c r="L352" s="150"/>
      <c r="M352" s="150"/>
      <c r="N352" s="150"/>
      <c r="O352" s="150"/>
      <c r="P352" s="150"/>
      <c r="Q352" s="150"/>
      <c r="R352" s="150"/>
      <c r="S352" s="150"/>
      <c r="T352" s="150"/>
      <c r="U352" s="150"/>
      <c r="V352" s="150"/>
      <c r="W352" s="150"/>
      <c r="X352" s="150"/>
    </row>
    <row r="353">
      <c r="A353" s="150"/>
      <c r="B353" s="182"/>
      <c r="C353" s="217"/>
      <c r="D353" s="150"/>
      <c r="E353" s="150"/>
      <c r="F353" s="150"/>
      <c r="G353" s="150"/>
      <c r="H353" s="150"/>
      <c r="I353" s="150"/>
      <c r="J353" s="150"/>
      <c r="K353" s="150"/>
      <c r="L353" s="150"/>
      <c r="M353" s="150"/>
      <c r="N353" s="150"/>
      <c r="O353" s="150"/>
      <c r="P353" s="150"/>
      <c r="Q353" s="150"/>
      <c r="R353" s="150"/>
      <c r="S353" s="150"/>
      <c r="T353" s="150"/>
      <c r="U353" s="150"/>
      <c r="V353" s="150"/>
      <c r="W353" s="150"/>
      <c r="X353" s="150"/>
    </row>
    <row r="354">
      <c r="A354" s="150"/>
      <c r="B354" s="182"/>
      <c r="C354" s="217"/>
      <c r="D354" s="150"/>
      <c r="E354" s="150"/>
      <c r="F354" s="150"/>
      <c r="G354" s="150"/>
      <c r="H354" s="150"/>
      <c r="I354" s="150"/>
      <c r="J354" s="150"/>
      <c r="K354" s="150"/>
      <c r="L354" s="150"/>
      <c r="M354" s="150"/>
      <c r="N354" s="150"/>
      <c r="O354" s="150"/>
      <c r="P354" s="150"/>
      <c r="Q354" s="150"/>
      <c r="R354" s="150"/>
      <c r="S354" s="150"/>
      <c r="T354" s="150"/>
      <c r="U354" s="150"/>
      <c r="V354" s="150"/>
      <c r="W354" s="150"/>
      <c r="X354" s="150"/>
    </row>
    <row r="355">
      <c r="A355" s="150"/>
      <c r="B355" s="182"/>
      <c r="C355" s="217"/>
      <c r="D355" s="150"/>
      <c r="E355" s="150"/>
      <c r="F355" s="150"/>
      <c r="G355" s="150"/>
      <c r="H355" s="150"/>
      <c r="I355" s="150"/>
      <c r="J355" s="150"/>
      <c r="K355" s="150"/>
      <c r="L355" s="150"/>
      <c r="M355" s="150"/>
      <c r="N355" s="150"/>
      <c r="O355" s="150"/>
      <c r="P355" s="150"/>
      <c r="Q355" s="150"/>
      <c r="R355" s="150"/>
      <c r="S355" s="150"/>
      <c r="T355" s="150"/>
      <c r="U355" s="150"/>
      <c r="V355" s="150"/>
      <c r="W355" s="150"/>
      <c r="X355" s="150"/>
    </row>
    <row r="356">
      <c r="A356" s="150"/>
      <c r="B356" s="182"/>
      <c r="C356" s="217"/>
      <c r="D356" s="150"/>
      <c r="E356" s="150"/>
      <c r="F356" s="150"/>
      <c r="G356" s="150"/>
      <c r="H356" s="150"/>
      <c r="I356" s="150"/>
      <c r="J356" s="150"/>
      <c r="K356" s="150"/>
      <c r="L356" s="150"/>
      <c r="M356" s="150"/>
      <c r="N356" s="150"/>
      <c r="O356" s="150"/>
      <c r="P356" s="150"/>
      <c r="Q356" s="150"/>
      <c r="R356" s="150"/>
      <c r="S356" s="150"/>
      <c r="T356" s="150"/>
      <c r="U356" s="150"/>
      <c r="V356" s="150"/>
      <c r="W356" s="150"/>
      <c r="X356" s="150"/>
    </row>
    <row r="357">
      <c r="A357" s="150"/>
      <c r="B357" s="182"/>
      <c r="C357" s="217"/>
      <c r="D357" s="150"/>
      <c r="E357" s="150"/>
      <c r="F357" s="150"/>
      <c r="G357" s="150"/>
      <c r="H357" s="150"/>
      <c r="I357" s="150"/>
      <c r="J357" s="150"/>
      <c r="K357" s="150"/>
      <c r="L357" s="150"/>
      <c r="M357" s="150"/>
      <c r="N357" s="150"/>
      <c r="O357" s="150"/>
      <c r="P357" s="150"/>
      <c r="Q357" s="150"/>
      <c r="R357" s="150"/>
      <c r="S357" s="150"/>
      <c r="T357" s="150"/>
      <c r="U357" s="150"/>
      <c r="V357" s="150"/>
      <c r="W357" s="150"/>
      <c r="X357" s="150"/>
    </row>
    <row r="358">
      <c r="A358" s="150"/>
      <c r="B358" s="182"/>
      <c r="C358" s="217"/>
      <c r="D358" s="150"/>
      <c r="E358" s="150"/>
      <c r="F358" s="150"/>
      <c r="G358" s="150"/>
      <c r="H358" s="150"/>
      <c r="I358" s="150"/>
      <c r="J358" s="150"/>
      <c r="K358" s="150"/>
      <c r="L358" s="150"/>
      <c r="M358" s="150"/>
      <c r="N358" s="150"/>
      <c r="O358" s="150"/>
      <c r="P358" s="150"/>
      <c r="Q358" s="150"/>
      <c r="R358" s="150"/>
      <c r="S358" s="150"/>
      <c r="T358" s="150"/>
      <c r="U358" s="150"/>
      <c r="V358" s="150"/>
      <c r="W358" s="150"/>
      <c r="X358" s="150"/>
    </row>
    <row r="359">
      <c r="A359" s="150"/>
      <c r="B359" s="182"/>
      <c r="C359" s="217"/>
      <c r="D359" s="150"/>
      <c r="E359" s="150"/>
      <c r="F359" s="150"/>
      <c r="G359" s="150"/>
      <c r="H359" s="150"/>
      <c r="I359" s="150"/>
      <c r="J359" s="150"/>
      <c r="K359" s="150"/>
      <c r="L359" s="150"/>
      <c r="M359" s="150"/>
      <c r="N359" s="150"/>
      <c r="O359" s="150"/>
      <c r="P359" s="150"/>
      <c r="Q359" s="150"/>
      <c r="R359" s="150"/>
      <c r="S359" s="150"/>
      <c r="T359" s="150"/>
      <c r="U359" s="150"/>
      <c r="V359" s="150"/>
      <c r="W359" s="150"/>
      <c r="X359" s="150"/>
    </row>
    <row r="360">
      <c r="A360" s="150"/>
      <c r="B360" s="182"/>
      <c r="C360" s="217"/>
      <c r="D360" s="150"/>
      <c r="E360" s="150"/>
      <c r="F360" s="150"/>
      <c r="G360" s="150"/>
      <c r="H360" s="150"/>
      <c r="I360" s="150"/>
      <c r="J360" s="150"/>
      <c r="K360" s="150"/>
      <c r="L360" s="150"/>
      <c r="M360" s="150"/>
      <c r="N360" s="150"/>
      <c r="O360" s="150"/>
      <c r="P360" s="150"/>
      <c r="Q360" s="150"/>
      <c r="R360" s="150"/>
      <c r="S360" s="150"/>
      <c r="T360" s="150"/>
      <c r="U360" s="150"/>
      <c r="V360" s="150"/>
      <c r="W360" s="150"/>
      <c r="X360" s="150"/>
    </row>
    <row r="361">
      <c r="A361" s="150"/>
      <c r="B361" s="182"/>
      <c r="C361" s="217"/>
      <c r="D361" s="150"/>
      <c r="E361" s="150"/>
      <c r="F361" s="150"/>
      <c r="G361" s="150"/>
      <c r="H361" s="150"/>
      <c r="I361" s="150"/>
      <c r="J361" s="150"/>
      <c r="K361" s="150"/>
      <c r="L361" s="150"/>
      <c r="M361" s="150"/>
      <c r="N361" s="150"/>
      <c r="O361" s="150"/>
      <c r="P361" s="150"/>
      <c r="Q361" s="150"/>
      <c r="R361" s="150"/>
      <c r="S361" s="150"/>
      <c r="T361" s="150"/>
      <c r="U361" s="150"/>
      <c r="V361" s="150"/>
      <c r="W361" s="150"/>
      <c r="X361" s="150"/>
    </row>
    <row r="362">
      <c r="A362" s="150"/>
      <c r="B362" s="182"/>
      <c r="C362" s="217"/>
      <c r="D362" s="150"/>
      <c r="E362" s="150"/>
      <c r="F362" s="150"/>
      <c r="G362" s="150"/>
      <c r="H362" s="150"/>
      <c r="I362" s="150"/>
      <c r="J362" s="150"/>
      <c r="K362" s="150"/>
      <c r="L362" s="150"/>
      <c r="M362" s="150"/>
      <c r="N362" s="150"/>
      <c r="O362" s="150"/>
      <c r="P362" s="150"/>
      <c r="Q362" s="150"/>
      <c r="R362" s="150"/>
      <c r="S362" s="150"/>
      <c r="T362" s="150"/>
      <c r="U362" s="150"/>
      <c r="V362" s="150"/>
      <c r="W362" s="150"/>
      <c r="X362" s="150"/>
    </row>
    <row r="363">
      <c r="A363" s="150"/>
      <c r="B363" s="182"/>
      <c r="C363" s="217"/>
      <c r="D363" s="150"/>
      <c r="E363" s="150"/>
      <c r="F363" s="150"/>
      <c r="G363" s="150"/>
      <c r="H363" s="150"/>
      <c r="I363" s="150"/>
      <c r="J363" s="150"/>
      <c r="K363" s="150"/>
      <c r="L363" s="150"/>
      <c r="M363" s="150"/>
      <c r="N363" s="150"/>
      <c r="O363" s="150"/>
      <c r="P363" s="150"/>
      <c r="Q363" s="150"/>
      <c r="R363" s="150"/>
      <c r="S363" s="150"/>
      <c r="T363" s="150"/>
      <c r="U363" s="150"/>
      <c r="V363" s="150"/>
      <c r="W363" s="150"/>
      <c r="X363" s="150"/>
    </row>
    <row r="364">
      <c r="A364" s="150"/>
      <c r="B364" s="182"/>
      <c r="C364" s="217"/>
      <c r="D364" s="150"/>
      <c r="E364" s="150"/>
      <c r="F364" s="150"/>
      <c r="G364" s="150"/>
      <c r="H364" s="150"/>
      <c r="I364" s="150"/>
      <c r="J364" s="150"/>
      <c r="K364" s="150"/>
      <c r="L364" s="150"/>
      <c r="M364" s="150"/>
      <c r="N364" s="150"/>
      <c r="O364" s="150"/>
      <c r="P364" s="150"/>
      <c r="Q364" s="150"/>
      <c r="R364" s="150"/>
      <c r="S364" s="150"/>
      <c r="T364" s="150"/>
      <c r="U364" s="150"/>
      <c r="V364" s="150"/>
      <c r="W364" s="150"/>
      <c r="X364" s="150"/>
    </row>
    <row r="365">
      <c r="A365" s="150"/>
      <c r="B365" s="182"/>
      <c r="C365" s="217"/>
      <c r="D365" s="150"/>
      <c r="E365" s="150"/>
      <c r="F365" s="150"/>
      <c r="G365" s="150"/>
      <c r="H365" s="150"/>
      <c r="I365" s="150"/>
      <c r="J365" s="150"/>
      <c r="K365" s="150"/>
      <c r="L365" s="150"/>
      <c r="M365" s="150"/>
      <c r="N365" s="150"/>
      <c r="O365" s="150"/>
      <c r="P365" s="150"/>
      <c r="Q365" s="150"/>
      <c r="R365" s="150"/>
      <c r="S365" s="150"/>
      <c r="T365" s="150"/>
      <c r="U365" s="150"/>
      <c r="V365" s="150"/>
      <c r="W365" s="150"/>
      <c r="X365" s="150"/>
    </row>
    <row r="366">
      <c r="A366" s="150"/>
      <c r="B366" s="182"/>
      <c r="C366" s="217"/>
      <c r="D366" s="150"/>
      <c r="E366" s="150"/>
      <c r="F366" s="150"/>
      <c r="G366" s="150"/>
      <c r="H366" s="150"/>
      <c r="I366" s="150"/>
      <c r="J366" s="150"/>
      <c r="K366" s="150"/>
      <c r="L366" s="150"/>
      <c r="M366" s="150"/>
      <c r="N366" s="150"/>
      <c r="O366" s="150"/>
      <c r="P366" s="150"/>
      <c r="Q366" s="150"/>
      <c r="R366" s="150"/>
      <c r="S366" s="150"/>
      <c r="T366" s="150"/>
      <c r="U366" s="150"/>
      <c r="V366" s="150"/>
      <c r="W366" s="150"/>
      <c r="X366" s="150"/>
    </row>
    <row r="367">
      <c r="A367" s="150"/>
      <c r="B367" s="182"/>
      <c r="C367" s="217"/>
      <c r="D367" s="150"/>
      <c r="E367" s="150"/>
      <c r="F367" s="150"/>
      <c r="G367" s="150"/>
      <c r="H367" s="150"/>
      <c r="I367" s="150"/>
      <c r="J367" s="150"/>
      <c r="K367" s="150"/>
      <c r="L367" s="150"/>
      <c r="M367" s="150"/>
      <c r="N367" s="150"/>
      <c r="O367" s="150"/>
      <c r="P367" s="150"/>
      <c r="Q367" s="150"/>
      <c r="R367" s="150"/>
      <c r="S367" s="150"/>
      <c r="T367" s="150"/>
      <c r="U367" s="150"/>
      <c r="V367" s="150"/>
      <c r="W367" s="150"/>
      <c r="X367" s="150"/>
    </row>
    <row r="368">
      <c r="A368" s="150"/>
      <c r="B368" s="182"/>
      <c r="C368" s="217"/>
      <c r="D368" s="150"/>
      <c r="E368" s="150"/>
      <c r="F368" s="150"/>
      <c r="G368" s="150"/>
      <c r="H368" s="150"/>
      <c r="I368" s="150"/>
      <c r="J368" s="150"/>
      <c r="K368" s="150"/>
      <c r="L368" s="150"/>
      <c r="M368" s="150"/>
      <c r="N368" s="150"/>
      <c r="O368" s="150"/>
      <c r="P368" s="150"/>
      <c r="Q368" s="150"/>
      <c r="R368" s="150"/>
      <c r="S368" s="150"/>
      <c r="T368" s="150"/>
      <c r="U368" s="150"/>
      <c r="V368" s="150"/>
      <c r="W368" s="150"/>
      <c r="X368" s="150"/>
    </row>
    <row r="369">
      <c r="A369" s="150"/>
      <c r="B369" s="182"/>
      <c r="C369" s="217"/>
      <c r="D369" s="150"/>
      <c r="E369" s="150"/>
      <c r="F369" s="150"/>
      <c r="G369" s="150"/>
      <c r="H369" s="150"/>
      <c r="I369" s="150"/>
      <c r="J369" s="150"/>
      <c r="K369" s="150"/>
      <c r="L369" s="150"/>
      <c r="M369" s="150"/>
      <c r="N369" s="150"/>
      <c r="O369" s="150"/>
      <c r="P369" s="150"/>
      <c r="Q369" s="150"/>
      <c r="R369" s="150"/>
      <c r="S369" s="150"/>
      <c r="T369" s="150"/>
      <c r="U369" s="150"/>
      <c r="V369" s="150"/>
      <c r="W369" s="150"/>
      <c r="X369" s="150"/>
    </row>
    <row r="370">
      <c r="A370" s="150"/>
      <c r="B370" s="182"/>
      <c r="C370" s="217"/>
      <c r="D370" s="150"/>
      <c r="E370" s="150"/>
      <c r="F370" s="150"/>
      <c r="G370" s="150"/>
      <c r="H370" s="150"/>
      <c r="I370" s="150"/>
      <c r="J370" s="150"/>
      <c r="K370" s="150"/>
      <c r="L370" s="150"/>
      <c r="M370" s="150"/>
      <c r="N370" s="150"/>
      <c r="O370" s="150"/>
      <c r="P370" s="150"/>
      <c r="Q370" s="150"/>
      <c r="R370" s="150"/>
      <c r="S370" s="150"/>
      <c r="T370" s="150"/>
      <c r="U370" s="150"/>
      <c r="V370" s="150"/>
      <c r="W370" s="150"/>
      <c r="X370" s="150"/>
    </row>
    <row r="371">
      <c r="A371" s="150"/>
      <c r="B371" s="182"/>
      <c r="C371" s="217"/>
      <c r="D371" s="150"/>
      <c r="E371" s="150"/>
      <c r="F371" s="150"/>
      <c r="G371" s="150"/>
      <c r="H371" s="150"/>
      <c r="I371" s="150"/>
      <c r="J371" s="150"/>
      <c r="K371" s="150"/>
      <c r="L371" s="150"/>
      <c r="M371" s="150"/>
      <c r="N371" s="150"/>
      <c r="O371" s="150"/>
      <c r="P371" s="150"/>
      <c r="Q371" s="150"/>
      <c r="R371" s="150"/>
      <c r="S371" s="150"/>
      <c r="T371" s="150"/>
      <c r="U371" s="150"/>
      <c r="V371" s="150"/>
      <c r="W371" s="150"/>
      <c r="X371" s="150"/>
    </row>
    <row r="372">
      <c r="A372" s="150"/>
      <c r="B372" s="182"/>
      <c r="C372" s="217"/>
      <c r="D372" s="150"/>
      <c r="E372" s="150"/>
      <c r="F372" s="150"/>
      <c r="G372" s="150"/>
      <c r="H372" s="150"/>
      <c r="I372" s="150"/>
      <c r="J372" s="150"/>
      <c r="K372" s="150"/>
      <c r="L372" s="150"/>
      <c r="M372" s="150"/>
      <c r="N372" s="150"/>
      <c r="O372" s="150"/>
      <c r="P372" s="150"/>
      <c r="Q372" s="150"/>
      <c r="R372" s="150"/>
      <c r="S372" s="150"/>
      <c r="T372" s="150"/>
      <c r="U372" s="150"/>
      <c r="V372" s="150"/>
      <c r="W372" s="150"/>
      <c r="X372" s="150"/>
    </row>
    <row r="373">
      <c r="A373" s="150"/>
      <c r="B373" s="182"/>
      <c r="C373" s="217"/>
      <c r="D373" s="150"/>
      <c r="E373" s="150"/>
      <c r="F373" s="150"/>
      <c r="G373" s="150"/>
      <c r="H373" s="150"/>
      <c r="I373" s="150"/>
      <c r="J373" s="150"/>
      <c r="K373" s="150"/>
      <c r="L373" s="150"/>
      <c r="M373" s="150"/>
      <c r="N373" s="150"/>
      <c r="O373" s="150"/>
      <c r="P373" s="150"/>
      <c r="Q373" s="150"/>
      <c r="R373" s="150"/>
      <c r="S373" s="150"/>
      <c r="T373" s="150"/>
      <c r="U373" s="150"/>
      <c r="V373" s="150"/>
      <c r="W373" s="150"/>
      <c r="X373" s="150"/>
    </row>
    <row r="374">
      <c r="A374" s="150"/>
      <c r="B374" s="182"/>
      <c r="C374" s="217"/>
      <c r="D374" s="150"/>
      <c r="E374" s="150"/>
      <c r="F374" s="150"/>
      <c r="G374" s="150"/>
      <c r="H374" s="150"/>
      <c r="I374" s="150"/>
      <c r="J374" s="150"/>
      <c r="K374" s="150"/>
      <c r="L374" s="150"/>
      <c r="M374" s="150"/>
      <c r="N374" s="150"/>
      <c r="O374" s="150"/>
      <c r="P374" s="150"/>
      <c r="Q374" s="150"/>
      <c r="R374" s="150"/>
      <c r="S374" s="150"/>
      <c r="T374" s="150"/>
      <c r="U374" s="150"/>
      <c r="V374" s="150"/>
      <c r="W374" s="150"/>
      <c r="X374" s="150"/>
    </row>
    <row r="375">
      <c r="A375" s="150"/>
      <c r="B375" s="182"/>
      <c r="C375" s="217"/>
      <c r="D375" s="150"/>
      <c r="E375" s="150"/>
      <c r="F375" s="150"/>
      <c r="G375" s="150"/>
      <c r="H375" s="150"/>
      <c r="I375" s="150"/>
      <c r="J375" s="150"/>
      <c r="K375" s="150"/>
      <c r="L375" s="150"/>
      <c r="M375" s="150"/>
      <c r="N375" s="150"/>
      <c r="O375" s="150"/>
      <c r="P375" s="150"/>
      <c r="Q375" s="150"/>
      <c r="R375" s="150"/>
      <c r="S375" s="150"/>
      <c r="T375" s="150"/>
      <c r="U375" s="150"/>
      <c r="V375" s="150"/>
      <c r="W375" s="150"/>
      <c r="X375" s="150"/>
    </row>
    <row r="376">
      <c r="A376" s="150"/>
      <c r="B376" s="182"/>
      <c r="C376" s="217"/>
      <c r="D376" s="150"/>
      <c r="E376" s="150"/>
      <c r="F376" s="150"/>
      <c r="G376" s="150"/>
      <c r="H376" s="150"/>
      <c r="I376" s="150"/>
      <c r="J376" s="150"/>
      <c r="K376" s="150"/>
      <c r="L376" s="150"/>
      <c r="M376" s="150"/>
      <c r="N376" s="150"/>
      <c r="O376" s="150"/>
      <c r="P376" s="150"/>
      <c r="Q376" s="150"/>
      <c r="R376" s="150"/>
      <c r="S376" s="150"/>
      <c r="T376" s="150"/>
      <c r="U376" s="150"/>
      <c r="V376" s="150"/>
      <c r="W376" s="150"/>
      <c r="X376" s="150"/>
    </row>
    <row r="377">
      <c r="A377" s="150"/>
      <c r="B377" s="182"/>
      <c r="C377" s="217"/>
      <c r="D377" s="150"/>
      <c r="E377" s="150"/>
      <c r="F377" s="150"/>
      <c r="G377" s="150"/>
      <c r="H377" s="150"/>
      <c r="I377" s="150"/>
      <c r="J377" s="150"/>
      <c r="K377" s="150"/>
      <c r="L377" s="150"/>
      <c r="M377" s="150"/>
      <c r="N377" s="150"/>
      <c r="O377" s="150"/>
      <c r="P377" s="150"/>
      <c r="Q377" s="150"/>
      <c r="R377" s="150"/>
      <c r="S377" s="150"/>
      <c r="T377" s="150"/>
      <c r="U377" s="150"/>
      <c r="V377" s="150"/>
      <c r="W377" s="150"/>
      <c r="X377" s="150"/>
    </row>
    <row r="378">
      <c r="A378" s="150"/>
      <c r="B378" s="182"/>
      <c r="C378" s="217"/>
      <c r="D378" s="150"/>
      <c r="E378" s="150"/>
      <c r="F378" s="150"/>
      <c r="G378" s="150"/>
      <c r="H378" s="150"/>
      <c r="I378" s="150"/>
      <c r="J378" s="150"/>
      <c r="K378" s="150"/>
      <c r="L378" s="150"/>
      <c r="M378" s="150"/>
      <c r="N378" s="150"/>
      <c r="O378" s="150"/>
      <c r="P378" s="150"/>
      <c r="Q378" s="150"/>
      <c r="R378" s="150"/>
      <c r="S378" s="150"/>
      <c r="T378" s="150"/>
      <c r="U378" s="150"/>
      <c r="V378" s="150"/>
      <c r="W378" s="150"/>
      <c r="X378" s="150"/>
    </row>
    <row r="379">
      <c r="A379" s="150"/>
      <c r="B379" s="182"/>
      <c r="C379" s="217"/>
      <c r="D379" s="150"/>
      <c r="E379" s="150"/>
      <c r="F379" s="150"/>
      <c r="G379" s="150"/>
      <c r="H379" s="150"/>
      <c r="I379" s="150"/>
      <c r="J379" s="150"/>
      <c r="K379" s="150"/>
      <c r="L379" s="150"/>
      <c r="M379" s="150"/>
      <c r="N379" s="150"/>
      <c r="O379" s="150"/>
      <c r="P379" s="150"/>
      <c r="Q379" s="150"/>
      <c r="R379" s="150"/>
      <c r="S379" s="150"/>
      <c r="T379" s="150"/>
      <c r="U379" s="150"/>
      <c r="V379" s="150"/>
      <c r="W379" s="150"/>
      <c r="X379" s="150"/>
    </row>
    <row r="380">
      <c r="A380" s="150"/>
      <c r="B380" s="182"/>
      <c r="C380" s="217"/>
      <c r="D380" s="150"/>
      <c r="E380" s="150"/>
      <c r="F380" s="150"/>
      <c r="G380" s="150"/>
      <c r="H380" s="150"/>
      <c r="I380" s="150"/>
      <c r="J380" s="150"/>
      <c r="K380" s="150"/>
      <c r="L380" s="150"/>
      <c r="M380" s="150"/>
      <c r="N380" s="150"/>
      <c r="O380" s="150"/>
      <c r="P380" s="150"/>
      <c r="Q380" s="150"/>
      <c r="R380" s="150"/>
      <c r="S380" s="150"/>
      <c r="T380" s="150"/>
      <c r="U380" s="150"/>
      <c r="V380" s="150"/>
      <c r="W380" s="150"/>
      <c r="X380" s="150"/>
    </row>
    <row r="381">
      <c r="A381" s="150"/>
      <c r="B381" s="182"/>
      <c r="C381" s="217"/>
      <c r="D381" s="150"/>
      <c r="E381" s="150"/>
      <c r="F381" s="150"/>
      <c r="G381" s="150"/>
      <c r="H381" s="150"/>
      <c r="I381" s="150"/>
      <c r="J381" s="150"/>
      <c r="K381" s="150"/>
      <c r="L381" s="150"/>
      <c r="M381" s="150"/>
      <c r="N381" s="150"/>
      <c r="O381" s="150"/>
      <c r="P381" s="150"/>
      <c r="Q381" s="150"/>
      <c r="R381" s="150"/>
      <c r="S381" s="150"/>
      <c r="T381" s="150"/>
      <c r="U381" s="150"/>
      <c r="V381" s="150"/>
      <c r="W381" s="150"/>
      <c r="X381" s="150"/>
    </row>
    <row r="382">
      <c r="A382" s="150"/>
      <c r="B382" s="182"/>
      <c r="C382" s="217"/>
      <c r="D382" s="150"/>
      <c r="E382" s="150"/>
      <c r="F382" s="150"/>
      <c r="G382" s="150"/>
      <c r="H382" s="150"/>
      <c r="I382" s="150"/>
      <c r="J382" s="150"/>
      <c r="K382" s="150"/>
      <c r="L382" s="150"/>
      <c r="M382" s="150"/>
      <c r="N382" s="150"/>
      <c r="O382" s="150"/>
      <c r="P382" s="150"/>
      <c r="Q382" s="150"/>
      <c r="R382" s="150"/>
      <c r="S382" s="150"/>
      <c r="T382" s="150"/>
      <c r="U382" s="150"/>
      <c r="V382" s="150"/>
      <c r="W382" s="150"/>
      <c r="X382" s="150"/>
    </row>
    <row r="383">
      <c r="A383" s="150"/>
      <c r="B383" s="182"/>
      <c r="C383" s="217"/>
      <c r="D383" s="150"/>
      <c r="E383" s="150"/>
      <c r="F383" s="150"/>
      <c r="G383" s="150"/>
      <c r="H383" s="150"/>
      <c r="I383" s="150"/>
      <c r="J383" s="150"/>
      <c r="K383" s="150"/>
      <c r="L383" s="150"/>
      <c r="M383" s="150"/>
      <c r="N383" s="150"/>
      <c r="O383" s="150"/>
      <c r="P383" s="150"/>
      <c r="Q383" s="150"/>
      <c r="R383" s="150"/>
      <c r="S383" s="150"/>
      <c r="T383" s="150"/>
      <c r="U383" s="150"/>
      <c r="V383" s="150"/>
      <c r="W383" s="150"/>
      <c r="X383" s="150"/>
    </row>
    <row r="384">
      <c r="A384" s="150"/>
      <c r="B384" s="182"/>
      <c r="C384" s="217"/>
      <c r="D384" s="150"/>
      <c r="E384" s="150"/>
      <c r="F384" s="150"/>
      <c r="G384" s="150"/>
      <c r="H384" s="150"/>
      <c r="I384" s="150"/>
      <c r="J384" s="150"/>
      <c r="K384" s="150"/>
      <c r="L384" s="150"/>
      <c r="M384" s="150"/>
      <c r="N384" s="150"/>
      <c r="O384" s="150"/>
      <c r="P384" s="150"/>
      <c r="Q384" s="150"/>
      <c r="R384" s="150"/>
      <c r="S384" s="150"/>
      <c r="T384" s="150"/>
      <c r="U384" s="150"/>
      <c r="V384" s="150"/>
      <c r="W384" s="150"/>
      <c r="X384" s="150"/>
    </row>
    <row r="385">
      <c r="A385" s="150"/>
      <c r="B385" s="182"/>
      <c r="C385" s="217"/>
      <c r="D385" s="150"/>
      <c r="E385" s="150"/>
      <c r="F385" s="150"/>
      <c r="G385" s="150"/>
      <c r="H385" s="150"/>
      <c r="I385" s="150"/>
      <c r="J385" s="150"/>
      <c r="K385" s="150"/>
      <c r="L385" s="150"/>
      <c r="M385" s="150"/>
      <c r="N385" s="150"/>
      <c r="O385" s="150"/>
      <c r="P385" s="150"/>
      <c r="Q385" s="150"/>
      <c r="R385" s="150"/>
      <c r="S385" s="150"/>
      <c r="T385" s="150"/>
      <c r="U385" s="150"/>
      <c r="V385" s="150"/>
      <c r="W385" s="150"/>
      <c r="X385" s="150"/>
    </row>
    <row r="386">
      <c r="A386" s="150"/>
      <c r="B386" s="182"/>
      <c r="C386" s="217"/>
      <c r="D386" s="150"/>
      <c r="E386" s="150"/>
      <c r="F386" s="150"/>
      <c r="G386" s="150"/>
      <c r="H386" s="150"/>
      <c r="I386" s="150"/>
      <c r="J386" s="150"/>
      <c r="K386" s="150"/>
      <c r="L386" s="150"/>
      <c r="M386" s="150"/>
      <c r="N386" s="150"/>
      <c r="O386" s="150"/>
      <c r="P386" s="150"/>
      <c r="Q386" s="150"/>
      <c r="R386" s="150"/>
      <c r="S386" s="150"/>
      <c r="T386" s="150"/>
      <c r="U386" s="150"/>
      <c r="V386" s="150"/>
      <c r="W386" s="150"/>
      <c r="X386" s="150"/>
    </row>
    <row r="387">
      <c r="A387" s="150"/>
      <c r="B387" s="182"/>
      <c r="C387" s="217"/>
      <c r="D387" s="150"/>
      <c r="E387" s="150"/>
      <c r="F387" s="150"/>
      <c r="G387" s="150"/>
      <c r="H387" s="150"/>
      <c r="I387" s="150"/>
      <c r="J387" s="150"/>
      <c r="K387" s="150"/>
      <c r="L387" s="150"/>
      <c r="M387" s="150"/>
      <c r="N387" s="150"/>
      <c r="O387" s="150"/>
      <c r="P387" s="150"/>
      <c r="Q387" s="150"/>
      <c r="R387" s="150"/>
      <c r="S387" s="150"/>
      <c r="T387" s="150"/>
      <c r="U387" s="150"/>
      <c r="V387" s="150"/>
      <c r="W387" s="150"/>
      <c r="X387" s="150"/>
    </row>
    <row r="388">
      <c r="A388" s="150"/>
      <c r="B388" s="182"/>
      <c r="C388" s="217"/>
      <c r="D388" s="150"/>
      <c r="E388" s="150"/>
      <c r="F388" s="150"/>
      <c r="G388" s="150"/>
      <c r="H388" s="150"/>
      <c r="I388" s="150"/>
      <c r="J388" s="150"/>
      <c r="K388" s="150"/>
      <c r="L388" s="150"/>
      <c r="M388" s="150"/>
      <c r="N388" s="150"/>
      <c r="O388" s="150"/>
      <c r="P388" s="150"/>
      <c r="Q388" s="150"/>
      <c r="R388" s="150"/>
      <c r="S388" s="150"/>
      <c r="T388" s="150"/>
      <c r="U388" s="150"/>
      <c r="V388" s="150"/>
      <c r="W388" s="150"/>
      <c r="X388" s="150"/>
    </row>
    <row r="389">
      <c r="A389" s="150"/>
      <c r="B389" s="182"/>
      <c r="C389" s="217"/>
      <c r="D389" s="150"/>
      <c r="E389" s="150"/>
      <c r="F389" s="150"/>
      <c r="G389" s="150"/>
      <c r="H389" s="150"/>
      <c r="I389" s="150"/>
      <c r="J389" s="150"/>
      <c r="K389" s="150"/>
      <c r="L389" s="150"/>
      <c r="M389" s="150"/>
      <c r="N389" s="150"/>
      <c r="O389" s="150"/>
      <c r="P389" s="150"/>
      <c r="Q389" s="150"/>
      <c r="R389" s="150"/>
      <c r="S389" s="150"/>
      <c r="T389" s="150"/>
      <c r="U389" s="150"/>
      <c r="V389" s="150"/>
      <c r="W389" s="150"/>
      <c r="X389" s="150"/>
    </row>
    <row r="390">
      <c r="A390" s="150"/>
      <c r="B390" s="182"/>
      <c r="C390" s="217"/>
      <c r="D390" s="150"/>
      <c r="E390" s="150"/>
      <c r="F390" s="150"/>
      <c r="G390" s="150"/>
      <c r="H390" s="150"/>
      <c r="I390" s="150"/>
      <c r="J390" s="150"/>
      <c r="K390" s="150"/>
      <c r="L390" s="150"/>
      <c r="M390" s="150"/>
      <c r="N390" s="150"/>
      <c r="O390" s="150"/>
      <c r="P390" s="150"/>
      <c r="Q390" s="150"/>
      <c r="R390" s="150"/>
      <c r="S390" s="150"/>
      <c r="T390" s="150"/>
      <c r="U390" s="150"/>
      <c r="V390" s="150"/>
      <c r="W390" s="150"/>
      <c r="X390" s="150"/>
    </row>
    <row r="391">
      <c r="A391" s="150"/>
      <c r="B391" s="182"/>
      <c r="C391" s="217"/>
      <c r="D391" s="150"/>
      <c r="E391" s="150"/>
      <c r="F391" s="150"/>
      <c r="G391" s="150"/>
      <c r="H391" s="150"/>
      <c r="I391" s="150"/>
      <c r="J391" s="150"/>
      <c r="K391" s="150"/>
      <c r="L391" s="150"/>
      <c r="M391" s="150"/>
      <c r="N391" s="150"/>
      <c r="O391" s="150"/>
      <c r="P391" s="150"/>
      <c r="Q391" s="150"/>
      <c r="R391" s="150"/>
      <c r="S391" s="150"/>
      <c r="T391" s="150"/>
      <c r="U391" s="150"/>
      <c r="V391" s="150"/>
      <c r="W391" s="150"/>
      <c r="X391" s="150"/>
    </row>
    <row r="392">
      <c r="A392" s="150"/>
      <c r="B392" s="182"/>
      <c r="C392" s="217"/>
      <c r="D392" s="150"/>
      <c r="E392" s="150"/>
      <c r="F392" s="150"/>
      <c r="G392" s="150"/>
      <c r="H392" s="150"/>
      <c r="I392" s="150"/>
      <c r="J392" s="150"/>
      <c r="K392" s="150"/>
      <c r="L392" s="150"/>
      <c r="M392" s="150"/>
      <c r="N392" s="150"/>
      <c r="O392" s="150"/>
      <c r="P392" s="150"/>
      <c r="Q392" s="150"/>
      <c r="R392" s="150"/>
      <c r="S392" s="150"/>
      <c r="T392" s="150"/>
      <c r="U392" s="150"/>
      <c r="V392" s="150"/>
      <c r="W392" s="150"/>
      <c r="X392" s="150"/>
    </row>
    <row r="393">
      <c r="A393" s="150"/>
      <c r="B393" s="182"/>
      <c r="C393" s="217"/>
      <c r="D393" s="150"/>
      <c r="E393" s="150"/>
      <c r="F393" s="150"/>
      <c r="G393" s="150"/>
      <c r="H393" s="150"/>
      <c r="I393" s="150"/>
      <c r="J393" s="150"/>
      <c r="K393" s="150"/>
      <c r="L393" s="150"/>
      <c r="M393" s="150"/>
      <c r="N393" s="150"/>
      <c r="O393" s="150"/>
      <c r="P393" s="150"/>
      <c r="Q393" s="150"/>
      <c r="R393" s="150"/>
      <c r="S393" s="150"/>
      <c r="T393" s="150"/>
      <c r="U393" s="150"/>
      <c r="V393" s="150"/>
      <c r="W393" s="150"/>
      <c r="X393" s="150"/>
    </row>
    <row r="394">
      <c r="A394" s="150"/>
      <c r="B394" s="182"/>
      <c r="C394" s="217"/>
      <c r="D394" s="150"/>
      <c r="E394" s="150"/>
      <c r="F394" s="150"/>
      <c r="G394" s="150"/>
      <c r="H394" s="150"/>
      <c r="I394" s="150"/>
      <c r="J394" s="150"/>
      <c r="K394" s="150"/>
      <c r="L394" s="150"/>
      <c r="M394" s="150"/>
      <c r="N394" s="150"/>
      <c r="O394" s="150"/>
      <c r="P394" s="150"/>
      <c r="Q394" s="150"/>
      <c r="R394" s="150"/>
      <c r="S394" s="150"/>
      <c r="T394" s="150"/>
      <c r="U394" s="150"/>
      <c r="V394" s="150"/>
      <c r="W394" s="150"/>
      <c r="X394" s="150"/>
    </row>
    <row r="395">
      <c r="A395" s="150"/>
      <c r="B395" s="182"/>
      <c r="C395" s="217"/>
      <c r="D395" s="150"/>
      <c r="E395" s="150"/>
      <c r="F395" s="150"/>
      <c r="G395" s="150"/>
      <c r="H395" s="150"/>
      <c r="I395" s="150"/>
      <c r="J395" s="150"/>
      <c r="K395" s="150"/>
      <c r="L395" s="150"/>
      <c r="M395" s="150"/>
      <c r="N395" s="150"/>
      <c r="O395" s="150"/>
      <c r="P395" s="150"/>
      <c r="Q395" s="150"/>
      <c r="R395" s="150"/>
      <c r="S395" s="150"/>
      <c r="T395" s="150"/>
      <c r="U395" s="150"/>
      <c r="V395" s="150"/>
      <c r="W395" s="150"/>
      <c r="X395" s="150"/>
    </row>
    <row r="396">
      <c r="A396" s="150"/>
      <c r="B396" s="182"/>
      <c r="C396" s="217"/>
      <c r="D396" s="150"/>
      <c r="E396" s="150"/>
      <c r="F396" s="150"/>
      <c r="G396" s="150"/>
      <c r="H396" s="150"/>
      <c r="I396" s="150"/>
      <c r="J396" s="150"/>
      <c r="K396" s="150"/>
      <c r="L396" s="150"/>
      <c r="M396" s="150"/>
      <c r="N396" s="150"/>
      <c r="O396" s="150"/>
      <c r="P396" s="150"/>
      <c r="Q396" s="150"/>
      <c r="R396" s="150"/>
      <c r="S396" s="150"/>
      <c r="T396" s="150"/>
      <c r="U396" s="150"/>
      <c r="V396" s="150"/>
      <c r="W396" s="150"/>
      <c r="X396" s="150"/>
    </row>
    <row r="397">
      <c r="A397" s="150"/>
      <c r="B397" s="182"/>
      <c r="C397" s="217"/>
      <c r="D397" s="150"/>
      <c r="E397" s="150"/>
      <c r="F397" s="150"/>
      <c r="G397" s="150"/>
      <c r="H397" s="150"/>
      <c r="I397" s="150"/>
      <c r="J397" s="150"/>
      <c r="K397" s="150"/>
      <c r="L397" s="150"/>
      <c r="M397" s="150"/>
      <c r="N397" s="150"/>
      <c r="O397" s="150"/>
      <c r="P397" s="150"/>
      <c r="Q397" s="150"/>
      <c r="R397" s="150"/>
      <c r="S397" s="150"/>
      <c r="T397" s="150"/>
      <c r="U397" s="150"/>
      <c r="V397" s="150"/>
      <c r="W397" s="150"/>
      <c r="X397" s="150"/>
    </row>
    <row r="398">
      <c r="A398" s="150"/>
      <c r="B398" s="182"/>
      <c r="C398" s="217"/>
      <c r="D398" s="150"/>
      <c r="E398" s="150"/>
      <c r="F398" s="150"/>
      <c r="G398" s="150"/>
      <c r="H398" s="150"/>
      <c r="I398" s="150"/>
      <c r="J398" s="150"/>
      <c r="K398" s="150"/>
      <c r="L398" s="150"/>
      <c r="M398" s="150"/>
      <c r="N398" s="150"/>
      <c r="O398" s="150"/>
      <c r="P398" s="150"/>
      <c r="Q398" s="150"/>
      <c r="R398" s="150"/>
      <c r="S398" s="150"/>
      <c r="T398" s="150"/>
      <c r="U398" s="150"/>
      <c r="V398" s="150"/>
      <c r="W398" s="150"/>
      <c r="X398" s="150"/>
    </row>
    <row r="399">
      <c r="A399" s="150"/>
      <c r="B399" s="182"/>
      <c r="C399" s="217"/>
      <c r="D399" s="150"/>
      <c r="E399" s="150"/>
      <c r="F399" s="150"/>
      <c r="G399" s="150"/>
      <c r="H399" s="150"/>
      <c r="I399" s="150"/>
      <c r="J399" s="150"/>
      <c r="K399" s="150"/>
      <c r="L399" s="150"/>
      <c r="M399" s="150"/>
      <c r="N399" s="150"/>
      <c r="O399" s="150"/>
      <c r="P399" s="150"/>
      <c r="Q399" s="150"/>
      <c r="R399" s="150"/>
      <c r="S399" s="150"/>
      <c r="T399" s="150"/>
      <c r="U399" s="150"/>
      <c r="V399" s="150"/>
      <c r="W399" s="150"/>
      <c r="X399" s="150"/>
    </row>
    <row r="400">
      <c r="A400" s="150"/>
      <c r="B400" s="182"/>
      <c r="C400" s="217"/>
      <c r="D400" s="150"/>
      <c r="E400" s="150"/>
      <c r="F400" s="150"/>
      <c r="G400" s="150"/>
      <c r="H400" s="150"/>
      <c r="I400" s="150"/>
      <c r="J400" s="150"/>
      <c r="K400" s="150"/>
      <c r="L400" s="150"/>
      <c r="M400" s="150"/>
      <c r="N400" s="150"/>
      <c r="O400" s="150"/>
      <c r="P400" s="150"/>
      <c r="Q400" s="150"/>
      <c r="R400" s="150"/>
      <c r="S400" s="150"/>
      <c r="T400" s="150"/>
      <c r="U400" s="150"/>
      <c r="V400" s="150"/>
      <c r="W400" s="150"/>
      <c r="X400" s="150"/>
    </row>
    <row r="401">
      <c r="A401" s="150"/>
      <c r="B401" s="182"/>
      <c r="C401" s="217"/>
      <c r="D401" s="150"/>
      <c r="E401" s="150"/>
      <c r="F401" s="150"/>
      <c r="G401" s="150"/>
      <c r="H401" s="150"/>
      <c r="I401" s="150"/>
      <c r="J401" s="150"/>
      <c r="K401" s="150"/>
      <c r="L401" s="150"/>
      <c r="M401" s="150"/>
      <c r="N401" s="150"/>
      <c r="O401" s="150"/>
      <c r="P401" s="150"/>
      <c r="Q401" s="150"/>
      <c r="R401" s="150"/>
      <c r="S401" s="150"/>
      <c r="T401" s="150"/>
      <c r="U401" s="150"/>
      <c r="V401" s="150"/>
      <c r="W401" s="150"/>
      <c r="X401" s="150"/>
    </row>
    <row r="402">
      <c r="A402" s="150"/>
      <c r="B402" s="182"/>
      <c r="C402" s="217"/>
      <c r="D402" s="150"/>
      <c r="E402" s="150"/>
      <c r="F402" s="150"/>
      <c r="G402" s="150"/>
      <c r="H402" s="150"/>
      <c r="I402" s="150"/>
      <c r="J402" s="150"/>
      <c r="K402" s="150"/>
      <c r="L402" s="150"/>
      <c r="M402" s="150"/>
      <c r="N402" s="150"/>
      <c r="O402" s="150"/>
      <c r="P402" s="150"/>
      <c r="Q402" s="150"/>
      <c r="R402" s="150"/>
      <c r="S402" s="150"/>
      <c r="T402" s="150"/>
      <c r="U402" s="150"/>
      <c r="V402" s="150"/>
      <c r="W402" s="150"/>
      <c r="X402" s="150"/>
    </row>
    <row r="403">
      <c r="A403" s="150"/>
      <c r="B403" s="182"/>
      <c r="C403" s="217"/>
      <c r="D403" s="150"/>
      <c r="E403" s="150"/>
      <c r="F403" s="150"/>
      <c r="G403" s="150"/>
      <c r="H403" s="150"/>
      <c r="I403" s="150"/>
      <c r="J403" s="150"/>
      <c r="K403" s="150"/>
      <c r="L403" s="150"/>
      <c r="M403" s="150"/>
      <c r="N403" s="150"/>
      <c r="O403" s="150"/>
      <c r="P403" s="150"/>
      <c r="Q403" s="150"/>
      <c r="R403" s="150"/>
      <c r="S403" s="150"/>
      <c r="T403" s="150"/>
      <c r="U403" s="150"/>
      <c r="V403" s="150"/>
      <c r="W403" s="150"/>
      <c r="X403" s="150"/>
    </row>
    <row r="404">
      <c r="A404" s="150"/>
      <c r="B404" s="182"/>
      <c r="C404" s="217"/>
      <c r="D404" s="150"/>
      <c r="E404" s="150"/>
      <c r="F404" s="150"/>
      <c r="G404" s="150"/>
      <c r="H404" s="150"/>
      <c r="I404" s="150"/>
      <c r="J404" s="150"/>
      <c r="K404" s="150"/>
      <c r="L404" s="150"/>
      <c r="M404" s="150"/>
      <c r="N404" s="150"/>
      <c r="O404" s="150"/>
      <c r="P404" s="150"/>
      <c r="Q404" s="150"/>
      <c r="R404" s="150"/>
      <c r="S404" s="150"/>
      <c r="T404" s="150"/>
      <c r="U404" s="150"/>
      <c r="V404" s="150"/>
      <c r="W404" s="150"/>
      <c r="X404" s="150"/>
    </row>
    <row r="405">
      <c r="A405" s="150"/>
      <c r="B405" s="182"/>
      <c r="C405" s="217"/>
      <c r="D405" s="150"/>
      <c r="E405" s="150"/>
      <c r="F405" s="150"/>
      <c r="G405" s="150"/>
      <c r="H405" s="150"/>
      <c r="I405" s="150"/>
      <c r="J405" s="150"/>
      <c r="K405" s="150"/>
      <c r="L405" s="150"/>
      <c r="M405" s="150"/>
      <c r="N405" s="150"/>
      <c r="O405" s="150"/>
      <c r="P405" s="150"/>
      <c r="Q405" s="150"/>
      <c r="R405" s="150"/>
      <c r="S405" s="150"/>
      <c r="T405" s="150"/>
      <c r="U405" s="150"/>
      <c r="V405" s="150"/>
      <c r="W405" s="150"/>
      <c r="X405" s="150"/>
    </row>
    <row r="406">
      <c r="A406" s="150"/>
      <c r="B406" s="182"/>
      <c r="C406" s="217"/>
      <c r="D406" s="150"/>
      <c r="E406" s="150"/>
      <c r="F406" s="150"/>
      <c r="G406" s="150"/>
      <c r="H406" s="150"/>
      <c r="I406" s="150"/>
      <c r="J406" s="150"/>
      <c r="K406" s="150"/>
      <c r="L406" s="150"/>
      <c r="M406" s="150"/>
      <c r="N406" s="150"/>
      <c r="O406" s="150"/>
      <c r="P406" s="150"/>
      <c r="Q406" s="150"/>
      <c r="R406" s="150"/>
      <c r="S406" s="150"/>
      <c r="T406" s="150"/>
      <c r="U406" s="150"/>
      <c r="V406" s="150"/>
      <c r="W406" s="150"/>
      <c r="X406" s="150"/>
    </row>
    <row r="407">
      <c r="A407" s="150"/>
      <c r="B407" s="182"/>
      <c r="C407" s="217"/>
      <c r="D407" s="150"/>
      <c r="E407" s="150"/>
      <c r="F407" s="150"/>
      <c r="G407" s="150"/>
      <c r="H407" s="150"/>
      <c r="I407" s="150"/>
      <c r="J407" s="150"/>
      <c r="K407" s="150"/>
      <c r="L407" s="150"/>
      <c r="M407" s="150"/>
      <c r="N407" s="150"/>
      <c r="O407" s="150"/>
      <c r="P407" s="150"/>
      <c r="Q407" s="150"/>
      <c r="R407" s="150"/>
      <c r="S407" s="150"/>
      <c r="T407" s="150"/>
      <c r="U407" s="150"/>
      <c r="V407" s="150"/>
      <c r="W407" s="150"/>
      <c r="X407" s="150"/>
    </row>
    <row r="408">
      <c r="A408" s="150"/>
      <c r="B408" s="182"/>
      <c r="C408" s="217"/>
      <c r="D408" s="150"/>
      <c r="E408" s="150"/>
      <c r="F408" s="150"/>
      <c r="G408" s="150"/>
      <c r="H408" s="150"/>
      <c r="I408" s="150"/>
      <c r="J408" s="150"/>
      <c r="K408" s="150"/>
      <c r="L408" s="150"/>
      <c r="M408" s="150"/>
      <c r="N408" s="150"/>
      <c r="O408" s="150"/>
      <c r="P408" s="150"/>
      <c r="Q408" s="150"/>
      <c r="R408" s="150"/>
      <c r="S408" s="150"/>
      <c r="T408" s="150"/>
      <c r="U408" s="150"/>
      <c r="V408" s="150"/>
      <c r="W408" s="150"/>
      <c r="X408" s="150"/>
    </row>
    <row r="409">
      <c r="A409" s="150"/>
      <c r="B409" s="182"/>
      <c r="C409" s="217"/>
      <c r="D409" s="150"/>
      <c r="E409" s="150"/>
      <c r="F409" s="150"/>
      <c r="G409" s="150"/>
      <c r="H409" s="150"/>
      <c r="I409" s="150"/>
      <c r="J409" s="150"/>
      <c r="K409" s="150"/>
      <c r="L409" s="150"/>
      <c r="M409" s="150"/>
      <c r="N409" s="150"/>
      <c r="O409" s="150"/>
      <c r="P409" s="150"/>
      <c r="Q409" s="150"/>
      <c r="R409" s="150"/>
      <c r="S409" s="150"/>
      <c r="T409" s="150"/>
      <c r="U409" s="150"/>
      <c r="V409" s="150"/>
      <c r="W409" s="150"/>
      <c r="X409" s="150"/>
    </row>
    <row r="410">
      <c r="A410" s="150"/>
      <c r="B410" s="182"/>
      <c r="C410" s="217"/>
      <c r="D410" s="150"/>
      <c r="E410" s="150"/>
      <c r="F410" s="150"/>
      <c r="G410" s="150"/>
      <c r="H410" s="150"/>
      <c r="I410" s="150"/>
      <c r="J410" s="150"/>
      <c r="K410" s="150"/>
      <c r="L410" s="150"/>
      <c r="M410" s="150"/>
      <c r="N410" s="150"/>
      <c r="O410" s="150"/>
      <c r="P410" s="150"/>
      <c r="Q410" s="150"/>
      <c r="R410" s="150"/>
      <c r="S410" s="150"/>
      <c r="T410" s="150"/>
      <c r="U410" s="150"/>
      <c r="V410" s="150"/>
      <c r="W410" s="150"/>
      <c r="X410" s="150"/>
    </row>
    <row r="411">
      <c r="A411" s="150"/>
      <c r="B411" s="182"/>
      <c r="C411" s="217"/>
      <c r="D411" s="150"/>
      <c r="E411" s="150"/>
      <c r="F411" s="150"/>
      <c r="G411" s="150"/>
      <c r="H411" s="150"/>
      <c r="I411" s="150"/>
      <c r="J411" s="150"/>
      <c r="K411" s="150"/>
      <c r="L411" s="150"/>
      <c r="M411" s="150"/>
      <c r="N411" s="150"/>
      <c r="O411" s="150"/>
      <c r="P411" s="150"/>
      <c r="Q411" s="150"/>
      <c r="R411" s="150"/>
      <c r="S411" s="150"/>
      <c r="T411" s="150"/>
      <c r="U411" s="150"/>
      <c r="V411" s="150"/>
      <c r="W411" s="150"/>
      <c r="X411" s="150"/>
    </row>
    <row r="412">
      <c r="A412" s="150"/>
      <c r="B412" s="182"/>
      <c r="C412" s="217"/>
      <c r="D412" s="150"/>
      <c r="E412" s="150"/>
      <c r="F412" s="150"/>
      <c r="G412" s="150"/>
      <c r="H412" s="150"/>
      <c r="I412" s="150"/>
      <c r="J412" s="150"/>
      <c r="K412" s="150"/>
      <c r="L412" s="150"/>
      <c r="M412" s="150"/>
      <c r="N412" s="150"/>
      <c r="O412" s="150"/>
      <c r="P412" s="150"/>
      <c r="Q412" s="150"/>
      <c r="R412" s="150"/>
      <c r="S412" s="150"/>
      <c r="T412" s="150"/>
      <c r="U412" s="150"/>
      <c r="V412" s="150"/>
      <c r="W412" s="150"/>
      <c r="X412" s="150"/>
    </row>
    <row r="413">
      <c r="A413" s="150"/>
      <c r="B413" s="182"/>
      <c r="C413" s="217"/>
      <c r="D413" s="150"/>
      <c r="E413" s="150"/>
      <c r="F413" s="150"/>
      <c r="G413" s="150"/>
      <c r="H413" s="150"/>
      <c r="I413" s="150"/>
      <c r="J413" s="150"/>
      <c r="K413" s="150"/>
      <c r="L413" s="150"/>
      <c r="M413" s="150"/>
      <c r="N413" s="150"/>
      <c r="O413" s="150"/>
      <c r="P413" s="150"/>
      <c r="Q413" s="150"/>
      <c r="R413" s="150"/>
      <c r="S413" s="150"/>
      <c r="T413" s="150"/>
      <c r="U413" s="150"/>
      <c r="V413" s="150"/>
      <c r="W413" s="150"/>
      <c r="X413" s="150"/>
    </row>
    <row r="414">
      <c r="A414" s="150"/>
      <c r="B414" s="182"/>
      <c r="C414" s="217"/>
      <c r="D414" s="150"/>
      <c r="E414" s="150"/>
      <c r="F414" s="150"/>
      <c r="G414" s="150"/>
      <c r="H414" s="150"/>
      <c r="I414" s="150"/>
      <c r="J414" s="150"/>
      <c r="K414" s="150"/>
      <c r="L414" s="150"/>
      <c r="M414" s="150"/>
      <c r="N414" s="150"/>
      <c r="O414" s="150"/>
      <c r="P414" s="150"/>
      <c r="Q414" s="150"/>
      <c r="R414" s="150"/>
      <c r="S414" s="150"/>
      <c r="T414" s="150"/>
      <c r="U414" s="150"/>
      <c r="V414" s="150"/>
      <c r="W414" s="150"/>
      <c r="X414" s="150"/>
    </row>
    <row r="415">
      <c r="A415" s="150"/>
      <c r="B415" s="182"/>
      <c r="C415" s="217"/>
      <c r="D415" s="150"/>
      <c r="E415" s="150"/>
      <c r="F415" s="150"/>
      <c r="G415" s="150"/>
      <c r="H415" s="150"/>
      <c r="I415" s="150"/>
      <c r="J415" s="150"/>
      <c r="K415" s="150"/>
      <c r="L415" s="150"/>
      <c r="M415" s="150"/>
      <c r="N415" s="150"/>
      <c r="O415" s="150"/>
      <c r="P415" s="150"/>
      <c r="Q415" s="150"/>
      <c r="R415" s="150"/>
      <c r="S415" s="150"/>
      <c r="T415" s="150"/>
      <c r="U415" s="150"/>
      <c r="V415" s="150"/>
      <c r="W415" s="150"/>
      <c r="X415" s="150"/>
    </row>
    <row r="416">
      <c r="A416" s="150"/>
      <c r="B416" s="182"/>
      <c r="C416" s="217"/>
      <c r="D416" s="150"/>
      <c r="E416" s="150"/>
      <c r="F416" s="150"/>
      <c r="G416" s="150"/>
      <c r="H416" s="150"/>
      <c r="I416" s="150"/>
      <c r="J416" s="150"/>
      <c r="K416" s="150"/>
      <c r="L416" s="150"/>
      <c r="M416" s="150"/>
      <c r="N416" s="150"/>
      <c r="O416" s="150"/>
      <c r="P416" s="150"/>
      <c r="Q416" s="150"/>
      <c r="R416" s="150"/>
      <c r="S416" s="150"/>
      <c r="T416" s="150"/>
      <c r="U416" s="150"/>
      <c r="V416" s="150"/>
      <c r="W416" s="150"/>
      <c r="X416" s="150"/>
    </row>
    <row r="417">
      <c r="A417" s="150"/>
      <c r="B417" s="182"/>
      <c r="C417" s="217"/>
      <c r="D417" s="150"/>
      <c r="E417" s="150"/>
      <c r="F417" s="150"/>
      <c r="G417" s="150"/>
      <c r="H417" s="150"/>
      <c r="I417" s="150"/>
      <c r="J417" s="150"/>
      <c r="K417" s="150"/>
      <c r="L417" s="150"/>
      <c r="M417" s="150"/>
      <c r="N417" s="150"/>
      <c r="O417" s="150"/>
      <c r="P417" s="150"/>
      <c r="Q417" s="150"/>
      <c r="R417" s="150"/>
      <c r="S417" s="150"/>
      <c r="T417" s="150"/>
      <c r="U417" s="150"/>
      <c r="V417" s="150"/>
      <c r="W417" s="150"/>
      <c r="X417" s="150"/>
    </row>
    <row r="418">
      <c r="A418" s="150"/>
      <c r="B418" s="182"/>
      <c r="C418" s="217"/>
      <c r="D418" s="150"/>
      <c r="E418" s="150"/>
      <c r="F418" s="150"/>
      <c r="G418" s="150"/>
      <c r="H418" s="150"/>
      <c r="I418" s="150"/>
      <c r="J418" s="150"/>
      <c r="K418" s="150"/>
      <c r="L418" s="150"/>
      <c r="M418" s="150"/>
      <c r="N418" s="150"/>
      <c r="O418" s="150"/>
      <c r="P418" s="150"/>
      <c r="Q418" s="150"/>
      <c r="R418" s="150"/>
      <c r="S418" s="150"/>
      <c r="T418" s="150"/>
      <c r="U418" s="150"/>
      <c r="V418" s="150"/>
      <c r="W418" s="150"/>
      <c r="X418" s="150"/>
    </row>
    <row r="419">
      <c r="A419" s="150"/>
      <c r="B419" s="182"/>
      <c r="C419" s="217"/>
      <c r="D419" s="150"/>
      <c r="E419" s="150"/>
      <c r="F419" s="150"/>
      <c r="G419" s="150"/>
      <c r="H419" s="150"/>
      <c r="I419" s="150"/>
      <c r="J419" s="150"/>
      <c r="K419" s="150"/>
      <c r="L419" s="150"/>
      <c r="M419" s="150"/>
      <c r="N419" s="150"/>
      <c r="O419" s="150"/>
      <c r="P419" s="150"/>
      <c r="Q419" s="150"/>
      <c r="R419" s="150"/>
      <c r="S419" s="150"/>
      <c r="T419" s="150"/>
      <c r="U419" s="150"/>
      <c r="V419" s="150"/>
      <c r="W419" s="150"/>
      <c r="X419" s="150"/>
    </row>
    <row r="420">
      <c r="A420" s="150"/>
      <c r="B420" s="182"/>
      <c r="C420" s="217"/>
      <c r="D420" s="150"/>
      <c r="E420" s="150"/>
      <c r="F420" s="150"/>
      <c r="G420" s="150"/>
      <c r="H420" s="150"/>
      <c r="I420" s="150"/>
      <c r="J420" s="150"/>
      <c r="K420" s="150"/>
      <c r="L420" s="150"/>
      <c r="M420" s="150"/>
      <c r="N420" s="150"/>
      <c r="O420" s="150"/>
      <c r="P420" s="150"/>
      <c r="Q420" s="150"/>
      <c r="R420" s="150"/>
      <c r="S420" s="150"/>
      <c r="T420" s="150"/>
      <c r="U420" s="150"/>
      <c r="V420" s="150"/>
      <c r="W420" s="150"/>
      <c r="X420" s="150"/>
    </row>
    <row r="421">
      <c r="A421" s="150"/>
      <c r="B421" s="182"/>
      <c r="C421" s="217"/>
      <c r="D421" s="150"/>
      <c r="E421" s="150"/>
      <c r="F421" s="150"/>
      <c r="G421" s="150"/>
      <c r="H421" s="150"/>
      <c r="I421" s="150"/>
      <c r="J421" s="150"/>
      <c r="K421" s="150"/>
      <c r="L421" s="150"/>
      <c r="M421" s="150"/>
      <c r="N421" s="150"/>
      <c r="O421" s="150"/>
      <c r="P421" s="150"/>
      <c r="Q421" s="150"/>
      <c r="R421" s="150"/>
      <c r="S421" s="150"/>
      <c r="T421" s="150"/>
      <c r="U421" s="150"/>
      <c r="V421" s="150"/>
      <c r="W421" s="150"/>
      <c r="X421" s="150"/>
    </row>
    <row r="422">
      <c r="A422" s="150"/>
      <c r="B422" s="182"/>
      <c r="C422" s="217"/>
      <c r="D422" s="150"/>
      <c r="E422" s="150"/>
      <c r="F422" s="150"/>
      <c r="G422" s="150"/>
      <c r="H422" s="150"/>
      <c r="I422" s="150"/>
      <c r="J422" s="150"/>
      <c r="K422" s="150"/>
      <c r="L422" s="150"/>
      <c r="M422" s="150"/>
      <c r="N422" s="150"/>
      <c r="O422" s="150"/>
      <c r="P422" s="150"/>
      <c r="Q422" s="150"/>
      <c r="R422" s="150"/>
      <c r="S422" s="150"/>
      <c r="T422" s="150"/>
      <c r="U422" s="150"/>
      <c r="V422" s="150"/>
      <c r="W422" s="150"/>
      <c r="X422" s="150"/>
    </row>
    <row r="423">
      <c r="A423" s="150"/>
      <c r="B423" s="182"/>
      <c r="C423" s="217"/>
      <c r="D423" s="150"/>
      <c r="E423" s="150"/>
      <c r="F423" s="150"/>
      <c r="G423" s="150"/>
      <c r="H423" s="150"/>
      <c r="I423" s="150"/>
      <c r="J423" s="150"/>
      <c r="K423" s="150"/>
      <c r="L423" s="150"/>
      <c r="M423" s="150"/>
      <c r="N423" s="150"/>
      <c r="O423" s="150"/>
      <c r="P423" s="150"/>
      <c r="Q423" s="150"/>
      <c r="R423" s="150"/>
      <c r="S423" s="150"/>
      <c r="T423" s="150"/>
      <c r="U423" s="150"/>
      <c r="V423" s="150"/>
      <c r="W423" s="150"/>
      <c r="X423" s="150"/>
    </row>
    <row r="424">
      <c r="A424" s="150"/>
      <c r="B424" s="182"/>
      <c r="C424" s="217"/>
      <c r="D424" s="150"/>
      <c r="E424" s="150"/>
      <c r="F424" s="150"/>
      <c r="G424" s="150"/>
      <c r="H424" s="150"/>
      <c r="I424" s="150"/>
      <c r="J424" s="150"/>
      <c r="K424" s="150"/>
      <c r="L424" s="150"/>
      <c r="M424" s="150"/>
      <c r="N424" s="150"/>
      <c r="O424" s="150"/>
      <c r="P424" s="150"/>
      <c r="Q424" s="150"/>
      <c r="R424" s="150"/>
      <c r="S424" s="150"/>
      <c r="T424" s="150"/>
      <c r="U424" s="150"/>
      <c r="V424" s="150"/>
      <c r="W424" s="150"/>
      <c r="X424" s="150"/>
    </row>
    <row r="425">
      <c r="A425" s="150"/>
      <c r="B425" s="182"/>
      <c r="C425" s="217"/>
      <c r="D425" s="150"/>
      <c r="E425" s="150"/>
      <c r="F425" s="150"/>
      <c r="G425" s="150"/>
      <c r="H425" s="150"/>
      <c r="I425" s="150"/>
      <c r="J425" s="150"/>
      <c r="K425" s="150"/>
      <c r="L425" s="150"/>
      <c r="M425" s="150"/>
      <c r="N425" s="150"/>
      <c r="O425" s="150"/>
      <c r="P425" s="150"/>
      <c r="Q425" s="150"/>
      <c r="R425" s="150"/>
      <c r="S425" s="150"/>
      <c r="T425" s="150"/>
      <c r="U425" s="150"/>
      <c r="V425" s="150"/>
      <c r="W425" s="150"/>
      <c r="X425" s="150"/>
    </row>
    <row r="426">
      <c r="A426" s="150"/>
      <c r="B426" s="182"/>
      <c r="C426" s="217"/>
      <c r="D426" s="150"/>
      <c r="E426" s="150"/>
      <c r="F426" s="150"/>
      <c r="G426" s="150"/>
      <c r="H426" s="150"/>
      <c r="I426" s="150"/>
      <c r="J426" s="150"/>
      <c r="K426" s="150"/>
      <c r="L426" s="150"/>
      <c r="M426" s="150"/>
      <c r="N426" s="150"/>
      <c r="O426" s="150"/>
      <c r="P426" s="150"/>
      <c r="Q426" s="150"/>
      <c r="R426" s="150"/>
      <c r="S426" s="150"/>
      <c r="T426" s="150"/>
      <c r="U426" s="150"/>
      <c r="V426" s="150"/>
      <c r="W426" s="150"/>
      <c r="X426" s="150"/>
    </row>
    <row r="427">
      <c r="A427" s="150"/>
      <c r="B427" s="182"/>
      <c r="C427" s="217"/>
      <c r="D427" s="150"/>
      <c r="E427" s="150"/>
      <c r="F427" s="150"/>
      <c r="G427" s="150"/>
      <c r="H427" s="150"/>
      <c r="I427" s="150"/>
      <c r="J427" s="150"/>
      <c r="K427" s="150"/>
      <c r="L427" s="150"/>
      <c r="M427" s="150"/>
      <c r="N427" s="150"/>
      <c r="O427" s="150"/>
      <c r="P427" s="150"/>
      <c r="Q427" s="150"/>
      <c r="R427" s="150"/>
      <c r="S427" s="150"/>
      <c r="T427" s="150"/>
      <c r="U427" s="150"/>
      <c r="V427" s="150"/>
      <c r="W427" s="150"/>
      <c r="X427" s="150"/>
    </row>
    <row r="428">
      <c r="A428" s="150"/>
      <c r="B428" s="182"/>
      <c r="C428" s="217"/>
      <c r="D428" s="150"/>
      <c r="E428" s="150"/>
      <c r="F428" s="150"/>
      <c r="G428" s="150"/>
      <c r="H428" s="150"/>
      <c r="I428" s="150"/>
      <c r="J428" s="150"/>
      <c r="K428" s="150"/>
      <c r="L428" s="150"/>
      <c r="M428" s="150"/>
      <c r="N428" s="150"/>
      <c r="O428" s="150"/>
      <c r="P428" s="150"/>
      <c r="Q428" s="150"/>
      <c r="R428" s="150"/>
      <c r="S428" s="150"/>
      <c r="T428" s="150"/>
      <c r="U428" s="150"/>
      <c r="V428" s="150"/>
      <c r="W428" s="150"/>
      <c r="X428" s="150"/>
    </row>
    <row r="429">
      <c r="A429" s="150"/>
      <c r="B429" s="182"/>
      <c r="C429" s="217"/>
      <c r="D429" s="150"/>
      <c r="E429" s="150"/>
      <c r="F429" s="150"/>
      <c r="G429" s="150"/>
      <c r="H429" s="150"/>
      <c r="I429" s="150"/>
      <c r="J429" s="150"/>
      <c r="K429" s="150"/>
      <c r="L429" s="150"/>
      <c r="M429" s="150"/>
      <c r="N429" s="150"/>
      <c r="O429" s="150"/>
      <c r="P429" s="150"/>
      <c r="Q429" s="150"/>
      <c r="R429" s="150"/>
      <c r="S429" s="150"/>
      <c r="T429" s="150"/>
      <c r="U429" s="150"/>
      <c r="V429" s="150"/>
      <c r="W429" s="150"/>
      <c r="X429" s="150"/>
    </row>
    <row r="430">
      <c r="A430" s="150"/>
      <c r="B430" s="182"/>
      <c r="C430" s="217"/>
      <c r="D430" s="150"/>
      <c r="E430" s="150"/>
      <c r="F430" s="150"/>
      <c r="G430" s="150"/>
      <c r="H430" s="150"/>
      <c r="I430" s="150"/>
      <c r="J430" s="150"/>
      <c r="K430" s="150"/>
      <c r="L430" s="150"/>
      <c r="M430" s="150"/>
      <c r="N430" s="150"/>
      <c r="O430" s="150"/>
      <c r="P430" s="150"/>
      <c r="Q430" s="150"/>
      <c r="R430" s="150"/>
      <c r="S430" s="150"/>
      <c r="T430" s="150"/>
      <c r="U430" s="150"/>
      <c r="V430" s="150"/>
      <c r="W430" s="150"/>
      <c r="X430" s="150"/>
    </row>
    <row r="431">
      <c r="A431" s="150"/>
      <c r="B431" s="182"/>
      <c r="C431" s="217"/>
      <c r="D431" s="150"/>
      <c r="E431" s="150"/>
      <c r="F431" s="150"/>
      <c r="G431" s="150"/>
      <c r="H431" s="150"/>
      <c r="I431" s="150"/>
      <c r="J431" s="150"/>
      <c r="K431" s="150"/>
      <c r="L431" s="150"/>
      <c r="M431" s="150"/>
      <c r="N431" s="150"/>
      <c r="O431" s="150"/>
      <c r="P431" s="150"/>
      <c r="Q431" s="150"/>
      <c r="R431" s="150"/>
      <c r="S431" s="150"/>
      <c r="T431" s="150"/>
      <c r="U431" s="150"/>
      <c r="V431" s="150"/>
      <c r="W431" s="150"/>
      <c r="X431" s="150"/>
    </row>
    <row r="432">
      <c r="A432" s="150"/>
      <c r="B432" s="182"/>
      <c r="C432" s="217"/>
      <c r="D432" s="150"/>
      <c r="E432" s="150"/>
      <c r="F432" s="150"/>
      <c r="G432" s="150"/>
      <c r="H432" s="150"/>
      <c r="I432" s="150"/>
      <c r="J432" s="150"/>
      <c r="K432" s="150"/>
      <c r="L432" s="150"/>
      <c r="M432" s="150"/>
      <c r="N432" s="150"/>
      <c r="O432" s="150"/>
      <c r="P432" s="150"/>
      <c r="Q432" s="150"/>
      <c r="R432" s="150"/>
      <c r="S432" s="150"/>
      <c r="T432" s="150"/>
      <c r="U432" s="150"/>
      <c r="V432" s="150"/>
      <c r="W432" s="150"/>
      <c r="X432" s="150"/>
    </row>
    <row r="433">
      <c r="A433" s="150"/>
      <c r="B433" s="182"/>
      <c r="C433" s="217"/>
      <c r="D433" s="150"/>
      <c r="E433" s="150"/>
      <c r="F433" s="150"/>
      <c r="G433" s="150"/>
      <c r="H433" s="150"/>
      <c r="I433" s="150"/>
      <c r="J433" s="150"/>
      <c r="K433" s="150"/>
      <c r="L433" s="150"/>
      <c r="M433" s="150"/>
      <c r="N433" s="150"/>
      <c r="O433" s="150"/>
      <c r="P433" s="150"/>
      <c r="Q433" s="150"/>
      <c r="R433" s="150"/>
      <c r="S433" s="150"/>
      <c r="T433" s="150"/>
      <c r="U433" s="150"/>
      <c r="V433" s="150"/>
      <c r="W433" s="150"/>
      <c r="X433" s="150"/>
    </row>
    <row r="434">
      <c r="A434" s="150"/>
      <c r="B434" s="182"/>
      <c r="C434" s="217"/>
      <c r="D434" s="150"/>
      <c r="E434" s="150"/>
      <c r="F434" s="150"/>
      <c r="G434" s="150"/>
      <c r="H434" s="150"/>
      <c r="I434" s="150"/>
      <c r="J434" s="150"/>
      <c r="K434" s="150"/>
      <c r="L434" s="150"/>
      <c r="M434" s="150"/>
      <c r="N434" s="150"/>
      <c r="O434" s="150"/>
      <c r="P434" s="150"/>
      <c r="Q434" s="150"/>
      <c r="R434" s="150"/>
      <c r="S434" s="150"/>
      <c r="T434" s="150"/>
      <c r="U434" s="150"/>
      <c r="V434" s="150"/>
      <c r="W434" s="150"/>
      <c r="X434" s="150"/>
    </row>
    <row r="435">
      <c r="A435" s="150"/>
      <c r="B435" s="182"/>
      <c r="C435" s="217"/>
      <c r="D435" s="150"/>
      <c r="E435" s="150"/>
      <c r="F435" s="150"/>
      <c r="G435" s="150"/>
      <c r="H435" s="150"/>
      <c r="I435" s="150"/>
      <c r="J435" s="150"/>
      <c r="K435" s="150"/>
      <c r="L435" s="150"/>
      <c r="M435" s="150"/>
      <c r="N435" s="150"/>
      <c r="O435" s="150"/>
      <c r="P435" s="150"/>
      <c r="Q435" s="150"/>
      <c r="R435" s="150"/>
      <c r="S435" s="150"/>
      <c r="T435" s="150"/>
      <c r="U435" s="150"/>
      <c r="V435" s="150"/>
      <c r="W435" s="150"/>
      <c r="X435" s="150"/>
    </row>
    <row r="436">
      <c r="A436" s="150"/>
      <c r="B436" s="182"/>
      <c r="C436" s="217"/>
      <c r="D436" s="150"/>
      <c r="E436" s="150"/>
      <c r="F436" s="150"/>
      <c r="G436" s="150"/>
      <c r="H436" s="150"/>
      <c r="I436" s="150"/>
      <c r="J436" s="150"/>
      <c r="K436" s="150"/>
      <c r="L436" s="150"/>
      <c r="M436" s="150"/>
      <c r="N436" s="150"/>
      <c r="O436" s="150"/>
      <c r="P436" s="150"/>
      <c r="Q436" s="150"/>
      <c r="R436" s="150"/>
      <c r="S436" s="150"/>
      <c r="T436" s="150"/>
      <c r="U436" s="150"/>
      <c r="V436" s="150"/>
      <c r="W436" s="150"/>
      <c r="X436" s="150"/>
    </row>
    <row r="437">
      <c r="A437" s="150"/>
      <c r="B437" s="182"/>
      <c r="C437" s="217"/>
      <c r="D437" s="150"/>
      <c r="E437" s="150"/>
      <c r="F437" s="150"/>
      <c r="G437" s="150"/>
      <c r="H437" s="150"/>
      <c r="I437" s="150"/>
      <c r="J437" s="150"/>
      <c r="K437" s="150"/>
      <c r="L437" s="150"/>
      <c r="M437" s="150"/>
      <c r="N437" s="150"/>
      <c r="O437" s="150"/>
      <c r="P437" s="150"/>
      <c r="Q437" s="150"/>
      <c r="R437" s="150"/>
      <c r="S437" s="150"/>
      <c r="T437" s="150"/>
      <c r="U437" s="150"/>
      <c r="V437" s="150"/>
      <c r="W437" s="150"/>
      <c r="X437" s="150"/>
    </row>
    <row r="438">
      <c r="A438" s="150"/>
      <c r="B438" s="182"/>
      <c r="C438" s="217"/>
      <c r="D438" s="150"/>
      <c r="E438" s="150"/>
      <c r="F438" s="150"/>
      <c r="G438" s="150"/>
      <c r="H438" s="150"/>
      <c r="I438" s="150"/>
      <c r="J438" s="150"/>
      <c r="K438" s="150"/>
      <c r="L438" s="150"/>
      <c r="M438" s="150"/>
      <c r="N438" s="150"/>
      <c r="O438" s="150"/>
      <c r="P438" s="150"/>
      <c r="Q438" s="150"/>
      <c r="R438" s="150"/>
      <c r="S438" s="150"/>
      <c r="T438" s="150"/>
      <c r="U438" s="150"/>
      <c r="V438" s="150"/>
      <c r="W438" s="150"/>
      <c r="X438" s="150"/>
    </row>
    <row r="439">
      <c r="A439" s="150"/>
      <c r="B439" s="182"/>
      <c r="C439" s="217"/>
      <c r="D439" s="150"/>
      <c r="E439" s="150"/>
      <c r="F439" s="150"/>
      <c r="G439" s="150"/>
      <c r="H439" s="150"/>
      <c r="I439" s="150"/>
      <c r="J439" s="150"/>
      <c r="K439" s="150"/>
      <c r="L439" s="150"/>
      <c r="M439" s="150"/>
      <c r="N439" s="150"/>
      <c r="O439" s="150"/>
      <c r="P439" s="150"/>
      <c r="Q439" s="150"/>
      <c r="R439" s="150"/>
      <c r="S439" s="150"/>
      <c r="T439" s="150"/>
      <c r="U439" s="150"/>
      <c r="V439" s="150"/>
      <c r="W439" s="150"/>
      <c r="X439" s="150"/>
    </row>
    <row r="440">
      <c r="A440" s="150"/>
      <c r="B440" s="182"/>
      <c r="C440" s="217"/>
      <c r="D440" s="150"/>
      <c r="E440" s="150"/>
      <c r="F440" s="150"/>
      <c r="G440" s="150"/>
      <c r="H440" s="150"/>
      <c r="I440" s="150"/>
      <c r="J440" s="150"/>
      <c r="K440" s="150"/>
      <c r="L440" s="150"/>
      <c r="M440" s="150"/>
      <c r="N440" s="150"/>
      <c r="O440" s="150"/>
      <c r="P440" s="150"/>
      <c r="Q440" s="150"/>
      <c r="R440" s="150"/>
      <c r="S440" s="150"/>
      <c r="T440" s="150"/>
      <c r="U440" s="150"/>
      <c r="V440" s="150"/>
      <c r="W440" s="150"/>
      <c r="X440" s="150"/>
    </row>
    <row r="441">
      <c r="A441" s="150"/>
      <c r="B441" s="182"/>
      <c r="C441" s="217"/>
      <c r="D441" s="150"/>
      <c r="E441" s="150"/>
      <c r="F441" s="150"/>
      <c r="G441" s="150"/>
      <c r="H441" s="150"/>
      <c r="I441" s="150"/>
      <c r="J441" s="150"/>
      <c r="K441" s="150"/>
      <c r="L441" s="150"/>
      <c r="M441" s="150"/>
      <c r="N441" s="150"/>
      <c r="O441" s="150"/>
      <c r="P441" s="150"/>
      <c r="Q441" s="150"/>
      <c r="R441" s="150"/>
      <c r="S441" s="150"/>
      <c r="T441" s="150"/>
      <c r="U441" s="150"/>
      <c r="V441" s="150"/>
      <c r="W441" s="150"/>
      <c r="X441" s="150"/>
    </row>
    <row r="442">
      <c r="A442" s="150"/>
      <c r="B442" s="182"/>
      <c r="C442" s="217"/>
      <c r="D442" s="150"/>
      <c r="E442" s="150"/>
      <c r="F442" s="150"/>
      <c r="G442" s="150"/>
      <c r="H442" s="150"/>
      <c r="I442" s="150"/>
      <c r="J442" s="150"/>
      <c r="K442" s="150"/>
      <c r="L442" s="150"/>
      <c r="M442" s="150"/>
      <c r="N442" s="150"/>
      <c r="O442" s="150"/>
      <c r="P442" s="150"/>
      <c r="Q442" s="150"/>
      <c r="R442" s="150"/>
      <c r="S442" s="150"/>
      <c r="T442" s="150"/>
      <c r="U442" s="150"/>
      <c r="V442" s="150"/>
      <c r="W442" s="150"/>
      <c r="X442" s="150"/>
    </row>
    <row r="443">
      <c r="A443" s="150"/>
      <c r="B443" s="182"/>
      <c r="C443" s="217"/>
      <c r="D443" s="150"/>
      <c r="E443" s="150"/>
      <c r="F443" s="150"/>
      <c r="G443" s="150"/>
      <c r="H443" s="150"/>
      <c r="I443" s="150"/>
      <c r="J443" s="150"/>
      <c r="K443" s="150"/>
      <c r="L443" s="150"/>
      <c r="M443" s="150"/>
      <c r="N443" s="150"/>
      <c r="O443" s="150"/>
      <c r="P443" s="150"/>
      <c r="Q443" s="150"/>
      <c r="R443" s="150"/>
      <c r="S443" s="150"/>
      <c r="T443" s="150"/>
      <c r="U443" s="150"/>
      <c r="V443" s="150"/>
      <c r="W443" s="150"/>
      <c r="X443" s="150"/>
    </row>
    <row r="444">
      <c r="A444" s="150"/>
      <c r="B444" s="182"/>
      <c r="C444" s="217"/>
      <c r="D444" s="150"/>
      <c r="E444" s="150"/>
      <c r="F444" s="150"/>
      <c r="G444" s="150"/>
      <c r="H444" s="150"/>
      <c r="I444" s="150"/>
      <c r="J444" s="150"/>
      <c r="K444" s="150"/>
      <c r="L444" s="150"/>
      <c r="M444" s="150"/>
      <c r="N444" s="150"/>
      <c r="O444" s="150"/>
      <c r="P444" s="150"/>
      <c r="Q444" s="150"/>
      <c r="R444" s="150"/>
      <c r="S444" s="150"/>
      <c r="T444" s="150"/>
      <c r="U444" s="150"/>
      <c r="V444" s="150"/>
      <c r="W444" s="150"/>
      <c r="X444" s="150"/>
    </row>
    <row r="445">
      <c r="A445" s="150"/>
      <c r="B445" s="182"/>
      <c r="C445" s="217"/>
      <c r="D445" s="150"/>
      <c r="E445" s="150"/>
      <c r="F445" s="150"/>
      <c r="G445" s="150"/>
      <c r="H445" s="150"/>
      <c r="I445" s="150"/>
      <c r="J445" s="150"/>
      <c r="K445" s="150"/>
      <c r="L445" s="150"/>
      <c r="M445" s="150"/>
      <c r="N445" s="150"/>
      <c r="O445" s="150"/>
      <c r="P445" s="150"/>
      <c r="Q445" s="150"/>
      <c r="R445" s="150"/>
      <c r="S445" s="150"/>
      <c r="T445" s="150"/>
      <c r="U445" s="150"/>
      <c r="V445" s="150"/>
      <c r="W445" s="150"/>
      <c r="X445" s="150"/>
    </row>
    <row r="446">
      <c r="A446" s="150"/>
      <c r="B446" s="182"/>
      <c r="C446" s="217"/>
      <c r="D446" s="150"/>
      <c r="E446" s="150"/>
      <c r="F446" s="150"/>
      <c r="G446" s="150"/>
      <c r="H446" s="150"/>
      <c r="I446" s="150"/>
      <c r="J446" s="150"/>
      <c r="K446" s="150"/>
      <c r="L446" s="150"/>
      <c r="M446" s="150"/>
      <c r="N446" s="150"/>
      <c r="O446" s="150"/>
      <c r="P446" s="150"/>
      <c r="Q446" s="150"/>
      <c r="R446" s="150"/>
      <c r="S446" s="150"/>
      <c r="T446" s="150"/>
      <c r="U446" s="150"/>
      <c r="V446" s="150"/>
      <c r="W446" s="150"/>
      <c r="X446" s="150"/>
    </row>
    <row r="447">
      <c r="A447" s="150"/>
      <c r="B447" s="182"/>
      <c r="C447" s="217"/>
      <c r="D447" s="150"/>
      <c r="E447" s="150"/>
      <c r="F447" s="150"/>
      <c r="G447" s="150"/>
      <c r="H447" s="150"/>
      <c r="I447" s="150"/>
      <c r="J447" s="150"/>
      <c r="K447" s="150"/>
      <c r="L447" s="150"/>
      <c r="M447" s="150"/>
      <c r="N447" s="150"/>
      <c r="O447" s="150"/>
      <c r="P447" s="150"/>
      <c r="Q447" s="150"/>
      <c r="R447" s="150"/>
      <c r="S447" s="150"/>
      <c r="T447" s="150"/>
      <c r="U447" s="150"/>
      <c r="V447" s="150"/>
      <c r="W447" s="150"/>
      <c r="X447" s="150"/>
    </row>
    <row r="448">
      <c r="A448" s="150"/>
      <c r="B448" s="182"/>
      <c r="C448" s="217"/>
      <c r="D448" s="150"/>
      <c r="E448" s="150"/>
      <c r="F448" s="150"/>
      <c r="G448" s="150"/>
      <c r="H448" s="150"/>
      <c r="I448" s="150"/>
      <c r="J448" s="150"/>
      <c r="K448" s="150"/>
      <c r="L448" s="150"/>
      <c r="M448" s="150"/>
      <c r="N448" s="150"/>
      <c r="O448" s="150"/>
      <c r="P448" s="150"/>
      <c r="Q448" s="150"/>
      <c r="R448" s="150"/>
      <c r="S448" s="150"/>
      <c r="T448" s="150"/>
      <c r="U448" s="150"/>
      <c r="V448" s="150"/>
      <c r="W448" s="150"/>
      <c r="X448" s="150"/>
    </row>
    <row r="449">
      <c r="A449" s="150"/>
      <c r="B449" s="182"/>
      <c r="C449" s="217"/>
      <c r="D449" s="150"/>
      <c r="E449" s="150"/>
      <c r="F449" s="150"/>
      <c r="G449" s="150"/>
      <c r="H449" s="150"/>
      <c r="I449" s="150"/>
      <c r="J449" s="150"/>
      <c r="K449" s="150"/>
      <c r="L449" s="150"/>
      <c r="M449" s="150"/>
      <c r="N449" s="150"/>
      <c r="O449" s="150"/>
      <c r="P449" s="150"/>
      <c r="Q449" s="150"/>
      <c r="R449" s="150"/>
      <c r="S449" s="150"/>
      <c r="T449" s="150"/>
      <c r="U449" s="150"/>
      <c r="V449" s="150"/>
      <c r="W449" s="150"/>
      <c r="X449" s="150"/>
    </row>
    <row r="450">
      <c r="A450" s="150"/>
      <c r="B450" s="182"/>
      <c r="C450" s="217"/>
      <c r="D450" s="150"/>
      <c r="E450" s="150"/>
      <c r="F450" s="150"/>
      <c r="G450" s="150"/>
      <c r="H450" s="150"/>
      <c r="I450" s="150"/>
      <c r="J450" s="150"/>
      <c r="K450" s="150"/>
      <c r="L450" s="150"/>
      <c r="M450" s="150"/>
      <c r="N450" s="150"/>
      <c r="O450" s="150"/>
      <c r="P450" s="150"/>
      <c r="Q450" s="150"/>
      <c r="R450" s="150"/>
      <c r="S450" s="150"/>
      <c r="T450" s="150"/>
      <c r="U450" s="150"/>
      <c r="V450" s="150"/>
      <c r="W450" s="150"/>
      <c r="X450" s="150"/>
    </row>
    <row r="451">
      <c r="A451" s="150"/>
      <c r="B451" s="182"/>
      <c r="C451" s="217"/>
      <c r="D451" s="150"/>
      <c r="E451" s="150"/>
      <c r="F451" s="150"/>
      <c r="G451" s="150"/>
      <c r="H451" s="150"/>
      <c r="I451" s="150"/>
      <c r="J451" s="150"/>
      <c r="K451" s="150"/>
      <c r="L451" s="150"/>
      <c r="M451" s="150"/>
      <c r="N451" s="150"/>
      <c r="O451" s="150"/>
      <c r="P451" s="150"/>
      <c r="Q451" s="150"/>
      <c r="R451" s="150"/>
      <c r="S451" s="150"/>
      <c r="T451" s="150"/>
      <c r="U451" s="150"/>
      <c r="V451" s="150"/>
      <c r="W451" s="150"/>
      <c r="X451" s="150"/>
    </row>
    <row r="452">
      <c r="A452" s="150"/>
      <c r="B452" s="182"/>
      <c r="C452" s="217"/>
      <c r="D452" s="150"/>
      <c r="E452" s="150"/>
      <c r="F452" s="150"/>
      <c r="G452" s="150"/>
      <c r="H452" s="150"/>
      <c r="I452" s="150"/>
      <c r="J452" s="150"/>
      <c r="K452" s="150"/>
      <c r="L452" s="150"/>
      <c r="M452" s="150"/>
      <c r="N452" s="150"/>
      <c r="O452" s="150"/>
      <c r="P452" s="150"/>
      <c r="Q452" s="150"/>
      <c r="R452" s="150"/>
      <c r="S452" s="150"/>
      <c r="T452" s="150"/>
      <c r="U452" s="150"/>
      <c r="V452" s="150"/>
      <c r="W452" s="150"/>
      <c r="X452" s="150"/>
    </row>
    <row r="453">
      <c r="A453" s="150"/>
      <c r="B453" s="182"/>
      <c r="C453" s="217"/>
      <c r="D453" s="150"/>
      <c r="E453" s="150"/>
      <c r="F453" s="150"/>
      <c r="G453" s="150"/>
      <c r="H453" s="150"/>
      <c r="I453" s="150"/>
      <c r="J453" s="150"/>
      <c r="K453" s="150"/>
      <c r="L453" s="150"/>
      <c r="M453" s="150"/>
      <c r="N453" s="150"/>
      <c r="O453" s="150"/>
      <c r="P453" s="150"/>
      <c r="Q453" s="150"/>
      <c r="R453" s="150"/>
      <c r="S453" s="150"/>
      <c r="T453" s="150"/>
      <c r="U453" s="150"/>
      <c r="V453" s="150"/>
      <c r="W453" s="150"/>
      <c r="X453" s="150"/>
    </row>
    <row r="454">
      <c r="A454" s="150"/>
      <c r="B454" s="182"/>
      <c r="C454" s="217"/>
      <c r="D454" s="150"/>
      <c r="E454" s="150"/>
      <c r="F454" s="150"/>
      <c r="G454" s="150"/>
      <c r="H454" s="150"/>
      <c r="I454" s="150"/>
      <c r="J454" s="150"/>
      <c r="K454" s="150"/>
      <c r="L454" s="150"/>
      <c r="M454" s="150"/>
      <c r="N454" s="150"/>
      <c r="O454" s="150"/>
      <c r="P454" s="150"/>
      <c r="Q454" s="150"/>
      <c r="R454" s="150"/>
      <c r="S454" s="150"/>
      <c r="T454" s="150"/>
      <c r="U454" s="150"/>
      <c r="V454" s="150"/>
      <c r="W454" s="150"/>
      <c r="X454" s="150"/>
    </row>
    <row r="455">
      <c r="A455" s="150"/>
      <c r="B455" s="182"/>
      <c r="C455" s="217"/>
      <c r="D455" s="150"/>
      <c r="E455" s="150"/>
      <c r="F455" s="150"/>
      <c r="G455" s="150"/>
      <c r="H455" s="150"/>
      <c r="I455" s="150"/>
      <c r="J455" s="150"/>
      <c r="K455" s="150"/>
      <c r="L455" s="150"/>
      <c r="M455" s="150"/>
      <c r="N455" s="150"/>
      <c r="O455" s="150"/>
      <c r="P455" s="150"/>
      <c r="Q455" s="150"/>
      <c r="R455" s="150"/>
      <c r="S455" s="150"/>
      <c r="T455" s="150"/>
      <c r="U455" s="150"/>
      <c r="V455" s="150"/>
      <c r="W455" s="150"/>
      <c r="X455" s="150"/>
    </row>
    <row r="456">
      <c r="A456" s="150"/>
      <c r="B456" s="182"/>
      <c r="C456" s="217"/>
      <c r="D456" s="150"/>
      <c r="E456" s="150"/>
      <c r="F456" s="150"/>
      <c r="G456" s="150"/>
      <c r="H456" s="150"/>
      <c r="I456" s="150"/>
      <c r="J456" s="150"/>
      <c r="K456" s="150"/>
      <c r="L456" s="150"/>
      <c r="M456" s="150"/>
      <c r="N456" s="150"/>
      <c r="O456" s="150"/>
      <c r="P456" s="150"/>
      <c r="Q456" s="150"/>
      <c r="R456" s="150"/>
      <c r="S456" s="150"/>
      <c r="T456" s="150"/>
      <c r="U456" s="150"/>
      <c r="V456" s="150"/>
      <c r="W456" s="150"/>
      <c r="X456" s="150"/>
    </row>
    <row r="457">
      <c r="A457" s="150"/>
      <c r="B457" s="182"/>
      <c r="C457" s="217"/>
      <c r="D457" s="150"/>
      <c r="E457" s="150"/>
      <c r="F457" s="150"/>
      <c r="G457" s="150"/>
      <c r="H457" s="150"/>
      <c r="I457" s="150"/>
      <c r="J457" s="150"/>
      <c r="K457" s="150"/>
      <c r="L457" s="150"/>
      <c r="M457" s="150"/>
      <c r="N457" s="150"/>
      <c r="O457" s="150"/>
      <c r="P457" s="150"/>
      <c r="Q457" s="150"/>
      <c r="R457" s="150"/>
      <c r="S457" s="150"/>
      <c r="T457" s="150"/>
      <c r="U457" s="150"/>
      <c r="V457" s="150"/>
      <c r="W457" s="150"/>
      <c r="X457" s="150"/>
    </row>
    <row r="458">
      <c r="A458" s="150"/>
      <c r="B458" s="182"/>
      <c r="C458" s="217"/>
      <c r="D458" s="150"/>
      <c r="E458" s="150"/>
      <c r="F458" s="150"/>
      <c r="G458" s="150"/>
      <c r="H458" s="150"/>
      <c r="I458" s="150"/>
      <c r="J458" s="150"/>
      <c r="K458" s="150"/>
      <c r="L458" s="150"/>
      <c r="M458" s="150"/>
      <c r="N458" s="150"/>
      <c r="O458" s="150"/>
      <c r="P458" s="150"/>
      <c r="Q458" s="150"/>
      <c r="R458" s="150"/>
      <c r="S458" s="150"/>
      <c r="T458" s="150"/>
      <c r="U458" s="150"/>
      <c r="V458" s="150"/>
      <c r="W458" s="150"/>
      <c r="X458" s="150"/>
    </row>
    <row r="459">
      <c r="A459" s="150"/>
      <c r="B459" s="182"/>
      <c r="C459" s="217"/>
      <c r="D459" s="150"/>
      <c r="E459" s="150"/>
      <c r="F459" s="150"/>
      <c r="G459" s="150"/>
      <c r="H459" s="150"/>
      <c r="I459" s="150"/>
      <c r="J459" s="150"/>
      <c r="K459" s="150"/>
      <c r="L459" s="150"/>
      <c r="M459" s="150"/>
      <c r="N459" s="150"/>
      <c r="O459" s="150"/>
      <c r="P459" s="150"/>
      <c r="Q459" s="150"/>
      <c r="R459" s="150"/>
      <c r="S459" s="150"/>
      <c r="T459" s="150"/>
      <c r="U459" s="150"/>
      <c r="V459" s="150"/>
      <c r="W459" s="150"/>
      <c r="X459" s="150"/>
    </row>
    <row r="460">
      <c r="A460" s="150"/>
      <c r="B460" s="182"/>
      <c r="C460" s="217"/>
      <c r="D460" s="150"/>
      <c r="E460" s="150"/>
      <c r="F460" s="150"/>
      <c r="G460" s="150"/>
      <c r="H460" s="150"/>
      <c r="I460" s="150"/>
      <c r="J460" s="150"/>
      <c r="K460" s="150"/>
      <c r="L460" s="150"/>
      <c r="M460" s="150"/>
      <c r="N460" s="150"/>
      <c r="O460" s="150"/>
      <c r="P460" s="150"/>
      <c r="Q460" s="150"/>
      <c r="R460" s="150"/>
      <c r="S460" s="150"/>
      <c r="T460" s="150"/>
      <c r="U460" s="150"/>
      <c r="V460" s="150"/>
      <c r="W460" s="150"/>
      <c r="X460" s="150"/>
    </row>
    <row r="461">
      <c r="A461" s="150"/>
      <c r="B461" s="182"/>
      <c r="C461" s="217"/>
      <c r="D461" s="150"/>
      <c r="E461" s="150"/>
      <c r="F461" s="150"/>
      <c r="G461" s="150"/>
      <c r="H461" s="150"/>
      <c r="I461" s="150"/>
      <c r="J461" s="150"/>
      <c r="K461" s="150"/>
      <c r="L461" s="150"/>
      <c r="M461" s="150"/>
      <c r="N461" s="150"/>
      <c r="O461" s="150"/>
      <c r="P461" s="150"/>
      <c r="Q461" s="150"/>
      <c r="R461" s="150"/>
      <c r="S461" s="150"/>
      <c r="T461" s="150"/>
      <c r="U461" s="150"/>
      <c r="V461" s="150"/>
      <c r="W461" s="150"/>
      <c r="X461" s="150"/>
    </row>
    <row r="462">
      <c r="A462" s="150"/>
      <c r="B462" s="182"/>
      <c r="C462" s="217"/>
      <c r="D462" s="150"/>
      <c r="E462" s="150"/>
      <c r="F462" s="150"/>
      <c r="G462" s="150"/>
      <c r="H462" s="150"/>
      <c r="I462" s="150"/>
      <c r="J462" s="150"/>
      <c r="K462" s="150"/>
      <c r="L462" s="150"/>
      <c r="M462" s="150"/>
      <c r="N462" s="150"/>
      <c r="O462" s="150"/>
      <c r="P462" s="150"/>
      <c r="Q462" s="150"/>
      <c r="R462" s="150"/>
      <c r="S462" s="150"/>
      <c r="T462" s="150"/>
      <c r="U462" s="150"/>
      <c r="V462" s="150"/>
      <c r="W462" s="150"/>
      <c r="X462" s="150"/>
    </row>
    <row r="463">
      <c r="A463" s="150"/>
      <c r="B463" s="182"/>
      <c r="C463" s="217"/>
      <c r="D463" s="150"/>
      <c r="E463" s="150"/>
      <c r="F463" s="150"/>
      <c r="G463" s="150"/>
      <c r="H463" s="150"/>
      <c r="I463" s="150"/>
      <c r="J463" s="150"/>
      <c r="K463" s="150"/>
      <c r="L463" s="150"/>
      <c r="M463" s="150"/>
      <c r="N463" s="150"/>
      <c r="O463" s="150"/>
      <c r="P463" s="150"/>
      <c r="Q463" s="150"/>
      <c r="R463" s="150"/>
      <c r="S463" s="150"/>
      <c r="T463" s="150"/>
      <c r="U463" s="150"/>
      <c r="V463" s="150"/>
      <c r="W463" s="150"/>
      <c r="X463" s="150"/>
    </row>
    <row r="464">
      <c r="A464" s="150"/>
      <c r="B464" s="182"/>
      <c r="C464" s="217"/>
      <c r="D464" s="150"/>
      <c r="E464" s="150"/>
      <c r="F464" s="150"/>
      <c r="G464" s="150"/>
      <c r="H464" s="150"/>
      <c r="I464" s="150"/>
      <c r="J464" s="150"/>
      <c r="K464" s="150"/>
      <c r="L464" s="150"/>
      <c r="M464" s="150"/>
      <c r="N464" s="150"/>
      <c r="O464" s="150"/>
      <c r="P464" s="150"/>
      <c r="Q464" s="150"/>
      <c r="R464" s="150"/>
      <c r="S464" s="150"/>
      <c r="T464" s="150"/>
      <c r="U464" s="150"/>
      <c r="V464" s="150"/>
      <c r="W464" s="150"/>
      <c r="X464" s="150"/>
    </row>
    <row r="465">
      <c r="A465" s="150"/>
      <c r="B465" s="182"/>
      <c r="C465" s="217"/>
      <c r="D465" s="150"/>
      <c r="E465" s="150"/>
      <c r="F465" s="150"/>
      <c r="G465" s="150"/>
      <c r="H465" s="150"/>
      <c r="I465" s="150"/>
      <c r="J465" s="150"/>
      <c r="K465" s="150"/>
      <c r="L465" s="150"/>
      <c r="M465" s="150"/>
      <c r="N465" s="150"/>
      <c r="O465" s="150"/>
      <c r="P465" s="150"/>
      <c r="Q465" s="150"/>
      <c r="R465" s="150"/>
      <c r="S465" s="150"/>
      <c r="T465" s="150"/>
      <c r="U465" s="150"/>
      <c r="V465" s="150"/>
      <c r="W465" s="150"/>
      <c r="X465" s="150"/>
    </row>
    <row r="466">
      <c r="A466" s="150"/>
      <c r="B466" s="182"/>
      <c r="C466" s="217"/>
      <c r="D466" s="150"/>
      <c r="E466" s="150"/>
      <c r="F466" s="150"/>
      <c r="G466" s="150"/>
      <c r="H466" s="150"/>
      <c r="I466" s="150"/>
      <c r="J466" s="150"/>
      <c r="K466" s="150"/>
      <c r="L466" s="150"/>
      <c r="M466" s="150"/>
      <c r="N466" s="150"/>
      <c r="O466" s="150"/>
      <c r="P466" s="150"/>
      <c r="Q466" s="150"/>
      <c r="R466" s="150"/>
      <c r="S466" s="150"/>
      <c r="T466" s="150"/>
      <c r="U466" s="150"/>
      <c r="V466" s="150"/>
      <c r="W466" s="150"/>
      <c r="X466" s="150"/>
    </row>
    <row r="467">
      <c r="A467" s="150"/>
      <c r="B467" s="182"/>
      <c r="C467" s="217"/>
      <c r="D467" s="150"/>
      <c r="E467" s="150"/>
      <c r="F467" s="150"/>
      <c r="G467" s="150"/>
      <c r="H467" s="150"/>
      <c r="I467" s="150"/>
      <c r="J467" s="150"/>
      <c r="K467" s="150"/>
      <c r="L467" s="150"/>
      <c r="M467" s="150"/>
      <c r="N467" s="150"/>
      <c r="O467" s="150"/>
      <c r="P467" s="150"/>
      <c r="Q467" s="150"/>
      <c r="R467" s="150"/>
      <c r="S467" s="150"/>
      <c r="T467" s="150"/>
      <c r="U467" s="150"/>
      <c r="V467" s="150"/>
      <c r="W467" s="150"/>
      <c r="X467" s="150"/>
    </row>
    <row r="468">
      <c r="A468" s="150"/>
      <c r="B468" s="182"/>
      <c r="C468" s="217"/>
      <c r="D468" s="150"/>
      <c r="E468" s="150"/>
      <c r="F468" s="150"/>
      <c r="G468" s="150"/>
      <c r="H468" s="150"/>
      <c r="I468" s="150"/>
      <c r="J468" s="150"/>
      <c r="K468" s="150"/>
      <c r="L468" s="150"/>
      <c r="M468" s="150"/>
      <c r="N468" s="150"/>
      <c r="O468" s="150"/>
      <c r="P468" s="150"/>
      <c r="Q468" s="150"/>
      <c r="R468" s="150"/>
      <c r="S468" s="150"/>
      <c r="T468" s="150"/>
      <c r="U468" s="150"/>
      <c r="V468" s="150"/>
      <c r="W468" s="150"/>
      <c r="X468" s="150"/>
    </row>
    <row r="469">
      <c r="A469" s="150"/>
      <c r="B469" s="182"/>
      <c r="C469" s="217"/>
      <c r="D469" s="150"/>
      <c r="E469" s="150"/>
      <c r="F469" s="150"/>
      <c r="G469" s="150"/>
      <c r="H469" s="150"/>
      <c r="I469" s="150"/>
      <c r="J469" s="150"/>
      <c r="K469" s="150"/>
      <c r="L469" s="150"/>
      <c r="M469" s="150"/>
      <c r="N469" s="150"/>
      <c r="O469" s="150"/>
      <c r="P469" s="150"/>
      <c r="Q469" s="150"/>
      <c r="R469" s="150"/>
      <c r="S469" s="150"/>
      <c r="T469" s="150"/>
      <c r="U469" s="150"/>
      <c r="V469" s="150"/>
      <c r="W469" s="150"/>
      <c r="X469" s="150"/>
    </row>
    <row r="470">
      <c r="A470" s="150"/>
      <c r="B470" s="182"/>
      <c r="C470" s="217"/>
      <c r="D470" s="150"/>
      <c r="E470" s="150"/>
      <c r="F470" s="150"/>
      <c r="G470" s="150"/>
      <c r="H470" s="150"/>
      <c r="I470" s="150"/>
      <c r="J470" s="150"/>
      <c r="K470" s="150"/>
      <c r="L470" s="150"/>
      <c r="M470" s="150"/>
      <c r="N470" s="150"/>
      <c r="O470" s="150"/>
      <c r="P470" s="150"/>
      <c r="Q470" s="150"/>
      <c r="R470" s="150"/>
      <c r="S470" s="150"/>
      <c r="T470" s="150"/>
      <c r="U470" s="150"/>
      <c r="V470" s="150"/>
      <c r="W470" s="150"/>
      <c r="X470" s="150"/>
    </row>
    <row r="471">
      <c r="A471" s="150"/>
      <c r="B471" s="182"/>
      <c r="C471" s="217"/>
      <c r="D471" s="150"/>
      <c r="E471" s="150"/>
      <c r="F471" s="150"/>
      <c r="G471" s="150"/>
      <c r="H471" s="150"/>
      <c r="I471" s="150"/>
      <c r="J471" s="150"/>
      <c r="K471" s="150"/>
      <c r="L471" s="150"/>
      <c r="M471" s="150"/>
      <c r="N471" s="150"/>
      <c r="O471" s="150"/>
      <c r="P471" s="150"/>
      <c r="Q471" s="150"/>
      <c r="R471" s="150"/>
      <c r="S471" s="150"/>
      <c r="T471" s="150"/>
      <c r="U471" s="150"/>
      <c r="V471" s="150"/>
      <c r="W471" s="150"/>
      <c r="X471" s="150"/>
    </row>
    <row r="472">
      <c r="A472" s="150"/>
      <c r="B472" s="182"/>
      <c r="C472" s="217"/>
      <c r="D472" s="150"/>
      <c r="E472" s="150"/>
      <c r="F472" s="150"/>
      <c r="G472" s="150"/>
      <c r="H472" s="150"/>
      <c r="I472" s="150"/>
      <c r="J472" s="150"/>
      <c r="K472" s="150"/>
      <c r="L472" s="150"/>
      <c r="M472" s="150"/>
      <c r="N472" s="150"/>
      <c r="O472" s="150"/>
      <c r="P472" s="150"/>
      <c r="Q472" s="150"/>
      <c r="R472" s="150"/>
      <c r="S472" s="150"/>
      <c r="T472" s="150"/>
      <c r="U472" s="150"/>
      <c r="V472" s="150"/>
      <c r="W472" s="150"/>
      <c r="X472" s="150"/>
    </row>
    <row r="473">
      <c r="A473" s="150"/>
      <c r="B473" s="182"/>
      <c r="C473" s="217"/>
      <c r="D473" s="150"/>
      <c r="E473" s="150"/>
      <c r="F473" s="150"/>
      <c r="G473" s="150"/>
      <c r="H473" s="150"/>
      <c r="I473" s="150"/>
      <c r="J473" s="150"/>
      <c r="K473" s="150"/>
      <c r="L473" s="150"/>
      <c r="M473" s="150"/>
      <c r="N473" s="150"/>
      <c r="O473" s="150"/>
      <c r="P473" s="150"/>
      <c r="Q473" s="150"/>
      <c r="R473" s="150"/>
      <c r="S473" s="150"/>
      <c r="T473" s="150"/>
      <c r="U473" s="150"/>
      <c r="V473" s="150"/>
      <c r="W473" s="150"/>
      <c r="X473" s="150"/>
    </row>
    <row r="474">
      <c r="A474" s="150"/>
      <c r="B474" s="182"/>
      <c r="C474" s="217"/>
      <c r="D474" s="150"/>
      <c r="E474" s="150"/>
      <c r="F474" s="150"/>
      <c r="G474" s="150"/>
      <c r="H474" s="150"/>
      <c r="I474" s="150"/>
      <c r="J474" s="150"/>
      <c r="K474" s="150"/>
      <c r="L474" s="150"/>
      <c r="M474" s="150"/>
      <c r="N474" s="150"/>
      <c r="O474" s="150"/>
      <c r="P474" s="150"/>
      <c r="Q474" s="150"/>
      <c r="R474" s="150"/>
      <c r="S474" s="150"/>
      <c r="T474" s="150"/>
      <c r="U474" s="150"/>
      <c r="V474" s="150"/>
      <c r="W474" s="150"/>
      <c r="X474" s="150"/>
    </row>
    <row r="475">
      <c r="A475" s="150"/>
      <c r="B475" s="182"/>
      <c r="C475" s="217"/>
      <c r="D475" s="150"/>
      <c r="E475" s="150"/>
      <c r="F475" s="150"/>
      <c r="G475" s="150"/>
      <c r="H475" s="150"/>
      <c r="I475" s="150"/>
      <c r="J475" s="150"/>
      <c r="K475" s="150"/>
      <c r="L475" s="150"/>
      <c r="M475" s="150"/>
      <c r="N475" s="150"/>
      <c r="O475" s="150"/>
      <c r="P475" s="150"/>
      <c r="Q475" s="150"/>
      <c r="R475" s="150"/>
      <c r="S475" s="150"/>
      <c r="T475" s="150"/>
      <c r="U475" s="150"/>
      <c r="V475" s="150"/>
      <c r="W475" s="150"/>
      <c r="X475" s="150"/>
    </row>
    <row r="476">
      <c r="A476" s="150"/>
      <c r="B476" s="182"/>
      <c r="C476" s="217"/>
      <c r="D476" s="150"/>
      <c r="E476" s="150"/>
      <c r="F476" s="150"/>
      <c r="G476" s="150"/>
      <c r="H476" s="150"/>
      <c r="I476" s="150"/>
      <c r="J476" s="150"/>
      <c r="K476" s="150"/>
      <c r="L476" s="150"/>
      <c r="M476" s="150"/>
      <c r="N476" s="150"/>
      <c r="O476" s="150"/>
      <c r="P476" s="150"/>
      <c r="Q476" s="150"/>
      <c r="R476" s="150"/>
      <c r="S476" s="150"/>
      <c r="T476" s="150"/>
      <c r="U476" s="150"/>
      <c r="V476" s="150"/>
      <c r="W476" s="150"/>
      <c r="X476" s="150"/>
    </row>
    <row r="477">
      <c r="A477" s="150"/>
      <c r="B477" s="182"/>
      <c r="C477" s="217"/>
      <c r="D477" s="150"/>
      <c r="E477" s="150"/>
      <c r="F477" s="150"/>
      <c r="G477" s="150"/>
      <c r="H477" s="150"/>
      <c r="I477" s="150"/>
      <c r="J477" s="150"/>
      <c r="K477" s="150"/>
      <c r="L477" s="150"/>
      <c r="M477" s="150"/>
      <c r="N477" s="150"/>
      <c r="O477" s="150"/>
      <c r="P477" s="150"/>
      <c r="Q477" s="150"/>
      <c r="R477" s="150"/>
      <c r="S477" s="150"/>
      <c r="T477" s="150"/>
      <c r="U477" s="150"/>
      <c r="V477" s="150"/>
      <c r="W477" s="150"/>
      <c r="X477" s="150"/>
    </row>
    <row r="478">
      <c r="A478" s="150"/>
      <c r="B478" s="182"/>
      <c r="C478" s="217"/>
      <c r="D478" s="150"/>
      <c r="E478" s="150"/>
      <c r="F478" s="150"/>
      <c r="G478" s="150"/>
      <c r="H478" s="150"/>
      <c r="I478" s="150"/>
      <c r="J478" s="150"/>
      <c r="K478" s="150"/>
      <c r="L478" s="150"/>
      <c r="M478" s="150"/>
      <c r="N478" s="150"/>
      <c r="O478" s="150"/>
      <c r="P478" s="150"/>
      <c r="Q478" s="150"/>
      <c r="R478" s="150"/>
      <c r="S478" s="150"/>
      <c r="T478" s="150"/>
      <c r="U478" s="150"/>
      <c r="V478" s="150"/>
      <c r="W478" s="150"/>
      <c r="X478" s="150"/>
    </row>
    <row r="479">
      <c r="A479" s="150"/>
      <c r="B479" s="182"/>
      <c r="C479" s="217"/>
      <c r="D479" s="150"/>
      <c r="E479" s="150"/>
      <c r="F479" s="150"/>
      <c r="G479" s="150"/>
      <c r="H479" s="150"/>
      <c r="I479" s="150"/>
      <c r="J479" s="150"/>
      <c r="K479" s="150"/>
      <c r="L479" s="150"/>
      <c r="M479" s="150"/>
      <c r="N479" s="150"/>
      <c r="O479" s="150"/>
      <c r="P479" s="150"/>
      <c r="Q479" s="150"/>
      <c r="R479" s="150"/>
      <c r="S479" s="150"/>
      <c r="T479" s="150"/>
      <c r="U479" s="150"/>
      <c r="V479" s="150"/>
      <c r="W479" s="150"/>
      <c r="X479" s="150"/>
    </row>
    <row r="480">
      <c r="A480" s="150"/>
      <c r="B480" s="182"/>
      <c r="C480" s="217"/>
      <c r="D480" s="150"/>
      <c r="E480" s="150"/>
      <c r="F480" s="150"/>
      <c r="G480" s="150"/>
      <c r="H480" s="150"/>
      <c r="I480" s="150"/>
      <c r="J480" s="150"/>
      <c r="K480" s="150"/>
      <c r="L480" s="150"/>
      <c r="M480" s="150"/>
      <c r="N480" s="150"/>
      <c r="O480" s="150"/>
      <c r="P480" s="150"/>
      <c r="Q480" s="150"/>
      <c r="R480" s="150"/>
      <c r="S480" s="150"/>
      <c r="T480" s="150"/>
      <c r="U480" s="150"/>
      <c r="V480" s="150"/>
      <c r="W480" s="150"/>
      <c r="X480" s="150"/>
    </row>
    <row r="481">
      <c r="A481" s="150"/>
      <c r="B481" s="182"/>
      <c r="C481" s="217"/>
      <c r="D481" s="150"/>
      <c r="E481" s="150"/>
      <c r="F481" s="150"/>
      <c r="G481" s="150"/>
      <c r="H481" s="150"/>
      <c r="I481" s="150"/>
      <c r="J481" s="150"/>
      <c r="K481" s="150"/>
      <c r="L481" s="150"/>
      <c r="M481" s="150"/>
      <c r="N481" s="150"/>
      <c r="O481" s="150"/>
      <c r="P481" s="150"/>
      <c r="Q481" s="150"/>
      <c r="R481" s="150"/>
      <c r="S481" s="150"/>
      <c r="T481" s="150"/>
      <c r="U481" s="150"/>
      <c r="V481" s="150"/>
      <c r="W481" s="150"/>
      <c r="X481" s="150"/>
    </row>
    <row r="482">
      <c r="A482" s="150"/>
      <c r="B482" s="182"/>
      <c r="C482" s="217"/>
      <c r="D482" s="150"/>
      <c r="E482" s="150"/>
      <c r="F482" s="150"/>
      <c r="G482" s="150"/>
      <c r="H482" s="150"/>
      <c r="I482" s="150"/>
      <c r="J482" s="150"/>
      <c r="K482" s="150"/>
      <c r="L482" s="150"/>
      <c r="M482" s="150"/>
      <c r="N482" s="150"/>
      <c r="O482" s="150"/>
      <c r="P482" s="150"/>
      <c r="Q482" s="150"/>
      <c r="R482" s="150"/>
      <c r="S482" s="150"/>
      <c r="T482" s="150"/>
      <c r="U482" s="150"/>
      <c r="V482" s="150"/>
      <c r="W482" s="150"/>
      <c r="X482" s="150"/>
    </row>
    <row r="483">
      <c r="A483" s="150"/>
      <c r="B483" s="182"/>
      <c r="C483" s="217"/>
      <c r="D483" s="150"/>
      <c r="E483" s="150"/>
      <c r="F483" s="150"/>
      <c r="G483" s="150"/>
      <c r="H483" s="150"/>
      <c r="I483" s="150"/>
      <c r="J483" s="150"/>
      <c r="K483" s="150"/>
      <c r="L483" s="150"/>
      <c r="M483" s="150"/>
      <c r="N483" s="150"/>
      <c r="O483" s="150"/>
      <c r="P483" s="150"/>
      <c r="Q483" s="150"/>
      <c r="R483" s="150"/>
      <c r="S483" s="150"/>
      <c r="T483" s="150"/>
      <c r="U483" s="150"/>
      <c r="V483" s="150"/>
      <c r="W483" s="150"/>
      <c r="X483" s="150"/>
    </row>
    <row r="484">
      <c r="A484" s="150"/>
      <c r="B484" s="182"/>
      <c r="C484" s="217"/>
      <c r="D484" s="150"/>
      <c r="E484" s="150"/>
      <c r="F484" s="150"/>
      <c r="G484" s="150"/>
      <c r="H484" s="150"/>
      <c r="I484" s="150"/>
      <c r="J484" s="150"/>
      <c r="K484" s="150"/>
      <c r="L484" s="150"/>
      <c r="M484" s="150"/>
      <c r="N484" s="150"/>
      <c r="O484" s="150"/>
      <c r="P484" s="150"/>
      <c r="Q484" s="150"/>
      <c r="R484" s="150"/>
      <c r="S484" s="150"/>
      <c r="T484" s="150"/>
      <c r="U484" s="150"/>
      <c r="V484" s="150"/>
      <c r="W484" s="150"/>
      <c r="X484" s="150"/>
    </row>
    <row r="485">
      <c r="A485" s="150"/>
      <c r="B485" s="182"/>
      <c r="C485" s="217"/>
      <c r="D485" s="150"/>
      <c r="E485" s="150"/>
      <c r="F485" s="150"/>
      <c r="G485" s="150"/>
      <c r="H485" s="150"/>
      <c r="I485" s="150"/>
      <c r="J485" s="150"/>
      <c r="K485" s="150"/>
      <c r="L485" s="150"/>
      <c r="M485" s="150"/>
      <c r="N485" s="150"/>
      <c r="O485" s="150"/>
      <c r="P485" s="150"/>
      <c r="Q485" s="150"/>
      <c r="R485" s="150"/>
      <c r="S485" s="150"/>
      <c r="T485" s="150"/>
      <c r="U485" s="150"/>
      <c r="V485" s="150"/>
      <c r="W485" s="150"/>
      <c r="X485" s="150"/>
    </row>
    <row r="486">
      <c r="A486" s="150"/>
      <c r="B486" s="182"/>
      <c r="C486" s="217"/>
      <c r="D486" s="150"/>
      <c r="E486" s="150"/>
      <c r="F486" s="150"/>
      <c r="G486" s="150"/>
      <c r="H486" s="150"/>
      <c r="I486" s="150"/>
      <c r="J486" s="150"/>
      <c r="K486" s="150"/>
      <c r="L486" s="150"/>
      <c r="M486" s="150"/>
      <c r="N486" s="150"/>
      <c r="O486" s="150"/>
      <c r="P486" s="150"/>
      <c r="Q486" s="150"/>
      <c r="R486" s="150"/>
      <c r="S486" s="150"/>
      <c r="T486" s="150"/>
      <c r="U486" s="150"/>
      <c r="V486" s="150"/>
      <c r="W486" s="150"/>
      <c r="X486" s="150"/>
    </row>
    <row r="487">
      <c r="A487" s="150"/>
      <c r="B487" s="182"/>
      <c r="C487" s="217"/>
      <c r="D487" s="150"/>
      <c r="E487" s="150"/>
      <c r="F487" s="150"/>
      <c r="G487" s="150"/>
      <c r="H487" s="150"/>
      <c r="I487" s="150"/>
      <c r="J487" s="150"/>
      <c r="K487" s="150"/>
      <c r="L487" s="150"/>
      <c r="M487" s="150"/>
      <c r="N487" s="150"/>
      <c r="O487" s="150"/>
      <c r="P487" s="150"/>
      <c r="Q487" s="150"/>
      <c r="R487" s="150"/>
      <c r="S487" s="150"/>
      <c r="T487" s="150"/>
      <c r="U487" s="150"/>
      <c r="V487" s="150"/>
      <c r="W487" s="150"/>
      <c r="X487" s="150"/>
    </row>
    <row r="488">
      <c r="A488" s="150"/>
      <c r="B488" s="182"/>
      <c r="C488" s="217"/>
      <c r="D488" s="150"/>
      <c r="E488" s="150"/>
      <c r="F488" s="150"/>
      <c r="G488" s="150"/>
      <c r="H488" s="150"/>
      <c r="I488" s="150"/>
      <c r="J488" s="150"/>
      <c r="K488" s="150"/>
      <c r="L488" s="150"/>
      <c r="M488" s="150"/>
      <c r="N488" s="150"/>
      <c r="O488" s="150"/>
      <c r="P488" s="150"/>
      <c r="Q488" s="150"/>
      <c r="R488" s="150"/>
      <c r="S488" s="150"/>
      <c r="T488" s="150"/>
      <c r="U488" s="150"/>
      <c r="V488" s="150"/>
      <c r="W488" s="150"/>
      <c r="X488" s="150"/>
    </row>
    <row r="489">
      <c r="A489" s="150"/>
      <c r="B489" s="182"/>
      <c r="C489" s="217"/>
      <c r="D489" s="150"/>
      <c r="E489" s="150"/>
      <c r="F489" s="150"/>
      <c r="G489" s="150"/>
      <c r="H489" s="150"/>
      <c r="I489" s="150"/>
      <c r="J489" s="150"/>
      <c r="K489" s="150"/>
      <c r="L489" s="150"/>
      <c r="M489" s="150"/>
      <c r="N489" s="150"/>
      <c r="O489" s="150"/>
      <c r="P489" s="150"/>
      <c r="Q489" s="150"/>
      <c r="R489" s="150"/>
      <c r="S489" s="150"/>
      <c r="T489" s="150"/>
      <c r="U489" s="150"/>
      <c r="V489" s="150"/>
      <c r="W489" s="150"/>
      <c r="X489" s="150"/>
    </row>
    <row r="490">
      <c r="A490" s="150"/>
      <c r="B490" s="182"/>
      <c r="C490" s="217"/>
      <c r="D490" s="150"/>
      <c r="E490" s="150"/>
      <c r="F490" s="150"/>
      <c r="G490" s="150"/>
      <c r="H490" s="150"/>
      <c r="I490" s="150"/>
      <c r="J490" s="150"/>
      <c r="K490" s="150"/>
      <c r="L490" s="150"/>
      <c r="M490" s="150"/>
      <c r="N490" s="150"/>
      <c r="O490" s="150"/>
      <c r="P490" s="150"/>
      <c r="Q490" s="150"/>
      <c r="R490" s="150"/>
      <c r="S490" s="150"/>
      <c r="T490" s="150"/>
      <c r="U490" s="150"/>
      <c r="V490" s="150"/>
      <c r="W490" s="150"/>
      <c r="X490" s="150"/>
    </row>
    <row r="491">
      <c r="A491" s="150"/>
      <c r="B491" s="182"/>
      <c r="C491" s="217"/>
      <c r="D491" s="150"/>
      <c r="E491" s="150"/>
      <c r="F491" s="150"/>
      <c r="G491" s="150"/>
      <c r="H491" s="150"/>
      <c r="I491" s="150"/>
      <c r="J491" s="150"/>
      <c r="K491" s="150"/>
      <c r="L491" s="150"/>
      <c r="M491" s="150"/>
      <c r="N491" s="150"/>
      <c r="O491" s="150"/>
      <c r="P491" s="150"/>
      <c r="Q491" s="150"/>
      <c r="R491" s="150"/>
      <c r="S491" s="150"/>
      <c r="T491" s="150"/>
      <c r="U491" s="150"/>
      <c r="V491" s="150"/>
      <c r="W491" s="150"/>
      <c r="X491" s="150"/>
    </row>
    <row r="492">
      <c r="A492" s="150"/>
      <c r="B492" s="182"/>
      <c r="C492" s="217"/>
      <c r="D492" s="150"/>
      <c r="E492" s="150"/>
      <c r="F492" s="150"/>
      <c r="G492" s="150"/>
      <c r="H492" s="150"/>
      <c r="I492" s="150"/>
      <c r="J492" s="150"/>
      <c r="K492" s="150"/>
      <c r="L492" s="150"/>
      <c r="M492" s="150"/>
      <c r="N492" s="150"/>
      <c r="O492" s="150"/>
      <c r="P492" s="150"/>
      <c r="Q492" s="150"/>
      <c r="R492" s="150"/>
      <c r="S492" s="150"/>
      <c r="T492" s="150"/>
      <c r="U492" s="150"/>
      <c r="V492" s="150"/>
      <c r="W492" s="150"/>
      <c r="X492" s="150"/>
    </row>
    <row r="493">
      <c r="A493" s="150"/>
      <c r="B493" s="182"/>
      <c r="C493" s="217"/>
      <c r="D493" s="150"/>
      <c r="E493" s="150"/>
      <c r="F493" s="150"/>
      <c r="G493" s="150"/>
      <c r="H493" s="150"/>
      <c r="I493" s="150"/>
      <c r="J493" s="150"/>
      <c r="K493" s="150"/>
      <c r="L493" s="150"/>
      <c r="M493" s="150"/>
      <c r="N493" s="150"/>
      <c r="O493" s="150"/>
      <c r="P493" s="150"/>
      <c r="Q493" s="150"/>
      <c r="R493" s="150"/>
      <c r="S493" s="150"/>
      <c r="T493" s="150"/>
      <c r="U493" s="150"/>
      <c r="V493" s="150"/>
      <c r="W493" s="150"/>
      <c r="X493" s="150"/>
    </row>
    <row r="494">
      <c r="A494" s="150"/>
      <c r="B494" s="182"/>
      <c r="C494" s="217"/>
      <c r="D494" s="150"/>
      <c r="E494" s="150"/>
      <c r="F494" s="150"/>
      <c r="G494" s="150"/>
      <c r="H494" s="150"/>
      <c r="I494" s="150"/>
      <c r="J494" s="150"/>
      <c r="K494" s="150"/>
      <c r="L494" s="150"/>
      <c r="M494" s="150"/>
      <c r="N494" s="150"/>
      <c r="O494" s="150"/>
      <c r="P494" s="150"/>
      <c r="Q494" s="150"/>
      <c r="R494" s="150"/>
      <c r="S494" s="150"/>
      <c r="T494" s="150"/>
      <c r="U494" s="150"/>
      <c r="V494" s="150"/>
      <c r="W494" s="150"/>
      <c r="X494" s="150"/>
    </row>
    <row r="495">
      <c r="A495" s="150"/>
      <c r="B495" s="182"/>
      <c r="C495" s="217"/>
      <c r="D495" s="150"/>
      <c r="E495" s="150"/>
      <c r="F495" s="150"/>
      <c r="G495" s="150"/>
      <c r="H495" s="150"/>
      <c r="I495" s="150"/>
      <c r="J495" s="150"/>
      <c r="K495" s="150"/>
      <c r="L495" s="150"/>
      <c r="M495" s="150"/>
      <c r="N495" s="150"/>
      <c r="O495" s="150"/>
      <c r="P495" s="150"/>
      <c r="Q495" s="150"/>
      <c r="R495" s="150"/>
      <c r="S495" s="150"/>
      <c r="T495" s="150"/>
      <c r="U495" s="150"/>
      <c r="V495" s="150"/>
      <c r="W495" s="150"/>
      <c r="X495" s="150"/>
    </row>
    <row r="496">
      <c r="A496" s="150"/>
      <c r="B496" s="182"/>
      <c r="C496" s="217"/>
      <c r="D496" s="150"/>
      <c r="E496" s="150"/>
      <c r="F496" s="150"/>
      <c r="G496" s="150"/>
      <c r="H496" s="150"/>
      <c r="I496" s="150"/>
      <c r="J496" s="150"/>
      <c r="K496" s="150"/>
      <c r="L496" s="150"/>
      <c r="M496" s="150"/>
      <c r="N496" s="150"/>
      <c r="O496" s="150"/>
      <c r="P496" s="150"/>
      <c r="Q496" s="150"/>
      <c r="R496" s="150"/>
      <c r="S496" s="150"/>
      <c r="T496" s="150"/>
      <c r="U496" s="150"/>
      <c r="V496" s="150"/>
      <c r="W496" s="150"/>
      <c r="X496" s="150"/>
    </row>
    <row r="497">
      <c r="A497" s="150"/>
      <c r="B497" s="182"/>
      <c r="C497" s="217"/>
      <c r="D497" s="150"/>
      <c r="E497" s="150"/>
      <c r="F497" s="150"/>
      <c r="G497" s="150"/>
      <c r="H497" s="150"/>
      <c r="I497" s="150"/>
      <c r="J497" s="150"/>
      <c r="K497" s="150"/>
      <c r="L497" s="150"/>
      <c r="M497" s="150"/>
      <c r="N497" s="150"/>
      <c r="O497" s="150"/>
      <c r="P497" s="150"/>
      <c r="Q497" s="150"/>
      <c r="R497" s="150"/>
      <c r="S497" s="150"/>
      <c r="T497" s="150"/>
      <c r="U497" s="150"/>
      <c r="V497" s="150"/>
      <c r="W497" s="150"/>
      <c r="X497" s="150"/>
    </row>
    <row r="498">
      <c r="A498" s="150"/>
      <c r="B498" s="182"/>
      <c r="C498" s="217"/>
      <c r="D498" s="150"/>
      <c r="E498" s="150"/>
      <c r="F498" s="150"/>
      <c r="G498" s="150"/>
      <c r="H498" s="150"/>
      <c r="I498" s="150"/>
      <c r="J498" s="150"/>
      <c r="K498" s="150"/>
      <c r="L498" s="150"/>
      <c r="M498" s="150"/>
      <c r="N498" s="150"/>
      <c r="O498" s="150"/>
      <c r="P498" s="150"/>
      <c r="Q498" s="150"/>
      <c r="R498" s="150"/>
      <c r="S498" s="150"/>
      <c r="T498" s="150"/>
      <c r="U498" s="150"/>
      <c r="V498" s="150"/>
      <c r="W498" s="150"/>
      <c r="X498" s="150"/>
    </row>
    <row r="499">
      <c r="A499" s="150"/>
      <c r="B499" s="182"/>
      <c r="C499" s="217"/>
      <c r="D499" s="150"/>
      <c r="E499" s="150"/>
      <c r="F499" s="150"/>
      <c r="G499" s="150"/>
      <c r="H499" s="150"/>
      <c r="I499" s="150"/>
      <c r="J499" s="150"/>
      <c r="K499" s="150"/>
      <c r="L499" s="150"/>
      <c r="M499" s="150"/>
      <c r="N499" s="150"/>
      <c r="O499" s="150"/>
      <c r="P499" s="150"/>
      <c r="Q499" s="150"/>
      <c r="R499" s="150"/>
      <c r="S499" s="150"/>
      <c r="T499" s="150"/>
      <c r="U499" s="150"/>
      <c r="V499" s="150"/>
      <c r="W499" s="150"/>
      <c r="X499" s="150"/>
    </row>
    <row r="500">
      <c r="A500" s="150"/>
      <c r="B500" s="182"/>
      <c r="C500" s="217"/>
      <c r="D500" s="150"/>
      <c r="E500" s="150"/>
      <c r="F500" s="150"/>
      <c r="G500" s="150"/>
      <c r="H500" s="150"/>
      <c r="I500" s="150"/>
      <c r="J500" s="150"/>
      <c r="K500" s="150"/>
      <c r="L500" s="150"/>
      <c r="M500" s="150"/>
      <c r="N500" s="150"/>
      <c r="O500" s="150"/>
      <c r="P500" s="150"/>
      <c r="Q500" s="150"/>
      <c r="R500" s="150"/>
      <c r="S500" s="150"/>
      <c r="T500" s="150"/>
      <c r="U500" s="150"/>
      <c r="V500" s="150"/>
      <c r="W500" s="150"/>
      <c r="X500" s="150"/>
    </row>
    <row r="501">
      <c r="A501" s="150"/>
      <c r="B501" s="182"/>
      <c r="C501" s="217"/>
      <c r="D501" s="150"/>
      <c r="E501" s="150"/>
      <c r="F501" s="150"/>
      <c r="G501" s="150"/>
      <c r="H501" s="150"/>
      <c r="I501" s="150"/>
      <c r="J501" s="150"/>
      <c r="K501" s="150"/>
      <c r="L501" s="150"/>
      <c r="M501" s="150"/>
      <c r="N501" s="150"/>
      <c r="O501" s="150"/>
      <c r="P501" s="150"/>
      <c r="Q501" s="150"/>
      <c r="R501" s="150"/>
      <c r="S501" s="150"/>
      <c r="T501" s="150"/>
      <c r="U501" s="150"/>
      <c r="V501" s="150"/>
      <c r="W501" s="150"/>
      <c r="X501" s="150"/>
    </row>
    <row r="502">
      <c r="A502" s="150"/>
      <c r="B502" s="182"/>
      <c r="C502" s="217"/>
      <c r="D502" s="150"/>
      <c r="E502" s="150"/>
      <c r="F502" s="150"/>
      <c r="G502" s="150"/>
      <c r="H502" s="150"/>
      <c r="I502" s="150"/>
      <c r="J502" s="150"/>
      <c r="K502" s="150"/>
      <c r="L502" s="150"/>
      <c r="M502" s="150"/>
      <c r="N502" s="150"/>
      <c r="O502" s="150"/>
      <c r="P502" s="150"/>
      <c r="Q502" s="150"/>
      <c r="R502" s="150"/>
      <c r="S502" s="150"/>
      <c r="T502" s="150"/>
      <c r="U502" s="150"/>
      <c r="V502" s="150"/>
      <c r="W502" s="150"/>
      <c r="X502" s="150"/>
    </row>
    <row r="503">
      <c r="A503" s="150"/>
      <c r="B503" s="182"/>
      <c r="C503" s="217"/>
      <c r="D503" s="150"/>
      <c r="E503" s="150"/>
      <c r="F503" s="150"/>
      <c r="G503" s="150"/>
      <c r="H503" s="150"/>
      <c r="I503" s="150"/>
      <c r="J503" s="150"/>
      <c r="K503" s="150"/>
      <c r="L503" s="150"/>
      <c r="M503" s="150"/>
      <c r="N503" s="150"/>
      <c r="O503" s="150"/>
      <c r="P503" s="150"/>
      <c r="Q503" s="150"/>
      <c r="R503" s="150"/>
      <c r="S503" s="150"/>
      <c r="T503" s="150"/>
      <c r="U503" s="150"/>
      <c r="V503" s="150"/>
      <c r="W503" s="150"/>
      <c r="X503" s="150"/>
    </row>
    <row r="504">
      <c r="A504" s="150"/>
      <c r="B504" s="182"/>
      <c r="C504" s="217"/>
      <c r="D504" s="150"/>
      <c r="E504" s="150"/>
      <c r="F504" s="150"/>
      <c r="G504" s="150"/>
      <c r="H504" s="150"/>
      <c r="I504" s="150"/>
      <c r="J504" s="150"/>
      <c r="K504" s="150"/>
      <c r="L504" s="150"/>
      <c r="M504" s="150"/>
      <c r="N504" s="150"/>
      <c r="O504" s="150"/>
      <c r="P504" s="150"/>
      <c r="Q504" s="150"/>
      <c r="R504" s="150"/>
      <c r="S504" s="150"/>
      <c r="T504" s="150"/>
      <c r="U504" s="150"/>
      <c r="V504" s="150"/>
      <c r="W504" s="150"/>
      <c r="X504" s="150"/>
    </row>
    <row r="505">
      <c r="A505" s="150"/>
      <c r="B505" s="182"/>
      <c r="C505" s="217"/>
      <c r="D505" s="150"/>
      <c r="E505" s="150"/>
      <c r="F505" s="150"/>
      <c r="G505" s="150"/>
      <c r="H505" s="150"/>
      <c r="I505" s="150"/>
      <c r="J505" s="150"/>
      <c r="K505" s="150"/>
      <c r="L505" s="150"/>
      <c r="M505" s="150"/>
      <c r="N505" s="150"/>
      <c r="O505" s="150"/>
      <c r="P505" s="150"/>
      <c r="Q505" s="150"/>
      <c r="R505" s="150"/>
      <c r="S505" s="150"/>
      <c r="T505" s="150"/>
      <c r="U505" s="150"/>
      <c r="V505" s="150"/>
      <c r="W505" s="150"/>
      <c r="X505" s="150"/>
    </row>
    <row r="506">
      <c r="A506" s="150"/>
      <c r="B506" s="182"/>
      <c r="C506" s="217"/>
      <c r="D506" s="150"/>
      <c r="E506" s="150"/>
      <c r="F506" s="150"/>
      <c r="G506" s="150"/>
      <c r="H506" s="150"/>
      <c r="I506" s="150"/>
      <c r="J506" s="150"/>
      <c r="K506" s="150"/>
      <c r="L506" s="150"/>
      <c r="M506" s="150"/>
      <c r="N506" s="150"/>
      <c r="O506" s="150"/>
      <c r="P506" s="150"/>
      <c r="Q506" s="150"/>
      <c r="R506" s="150"/>
      <c r="S506" s="150"/>
      <c r="T506" s="150"/>
      <c r="U506" s="150"/>
      <c r="V506" s="150"/>
      <c r="W506" s="150"/>
      <c r="X506" s="150"/>
    </row>
    <row r="507">
      <c r="A507" s="150"/>
      <c r="B507" s="182"/>
      <c r="C507" s="217"/>
      <c r="D507" s="150"/>
      <c r="E507" s="150"/>
      <c r="F507" s="150"/>
      <c r="G507" s="150"/>
      <c r="H507" s="150"/>
      <c r="I507" s="150"/>
      <c r="J507" s="150"/>
      <c r="K507" s="150"/>
      <c r="L507" s="150"/>
      <c r="M507" s="150"/>
      <c r="N507" s="150"/>
      <c r="O507" s="150"/>
      <c r="P507" s="150"/>
      <c r="Q507" s="150"/>
      <c r="R507" s="150"/>
      <c r="S507" s="150"/>
      <c r="T507" s="150"/>
      <c r="U507" s="150"/>
      <c r="V507" s="150"/>
      <c r="W507" s="150"/>
      <c r="X507" s="150"/>
    </row>
    <row r="508">
      <c r="A508" s="150"/>
      <c r="B508" s="182"/>
      <c r="C508" s="217"/>
      <c r="D508" s="150"/>
      <c r="E508" s="150"/>
      <c r="F508" s="150"/>
      <c r="G508" s="150"/>
      <c r="H508" s="150"/>
      <c r="I508" s="150"/>
      <c r="J508" s="150"/>
      <c r="K508" s="150"/>
      <c r="L508" s="150"/>
      <c r="M508" s="150"/>
      <c r="N508" s="150"/>
      <c r="O508" s="150"/>
      <c r="P508" s="150"/>
      <c r="Q508" s="150"/>
      <c r="R508" s="150"/>
      <c r="S508" s="150"/>
      <c r="T508" s="150"/>
      <c r="U508" s="150"/>
      <c r="V508" s="150"/>
      <c r="W508" s="150"/>
      <c r="X508" s="150"/>
    </row>
    <row r="509">
      <c r="A509" s="150"/>
      <c r="B509" s="182"/>
      <c r="C509" s="217"/>
      <c r="D509" s="150"/>
      <c r="E509" s="150"/>
      <c r="F509" s="150"/>
      <c r="G509" s="150"/>
      <c r="H509" s="150"/>
      <c r="I509" s="150"/>
      <c r="J509" s="150"/>
      <c r="K509" s="150"/>
      <c r="L509" s="150"/>
      <c r="M509" s="150"/>
      <c r="N509" s="150"/>
      <c r="O509" s="150"/>
      <c r="P509" s="150"/>
      <c r="Q509" s="150"/>
      <c r="R509" s="150"/>
      <c r="S509" s="150"/>
      <c r="T509" s="150"/>
      <c r="U509" s="150"/>
      <c r="V509" s="150"/>
      <c r="W509" s="150"/>
      <c r="X509" s="150"/>
    </row>
    <row r="510">
      <c r="A510" s="150"/>
      <c r="B510" s="182"/>
      <c r="C510" s="217"/>
      <c r="D510" s="150"/>
      <c r="E510" s="150"/>
      <c r="F510" s="150"/>
      <c r="G510" s="150"/>
      <c r="H510" s="150"/>
      <c r="I510" s="150"/>
      <c r="J510" s="150"/>
      <c r="K510" s="150"/>
      <c r="L510" s="150"/>
      <c r="M510" s="150"/>
      <c r="N510" s="150"/>
      <c r="O510" s="150"/>
      <c r="P510" s="150"/>
      <c r="Q510" s="150"/>
      <c r="R510" s="150"/>
      <c r="S510" s="150"/>
      <c r="T510" s="150"/>
      <c r="U510" s="150"/>
      <c r="V510" s="150"/>
      <c r="W510" s="150"/>
      <c r="X510" s="150"/>
    </row>
    <row r="511">
      <c r="A511" s="150"/>
      <c r="B511" s="182"/>
      <c r="C511" s="217"/>
      <c r="D511" s="150"/>
      <c r="E511" s="150"/>
      <c r="F511" s="150"/>
      <c r="G511" s="150"/>
      <c r="H511" s="150"/>
      <c r="I511" s="150"/>
      <c r="J511" s="150"/>
      <c r="K511" s="150"/>
      <c r="L511" s="150"/>
      <c r="M511" s="150"/>
      <c r="N511" s="150"/>
      <c r="O511" s="150"/>
      <c r="P511" s="150"/>
      <c r="Q511" s="150"/>
      <c r="R511" s="150"/>
      <c r="S511" s="150"/>
      <c r="T511" s="150"/>
      <c r="U511" s="150"/>
      <c r="V511" s="150"/>
      <c r="W511" s="150"/>
      <c r="X511" s="150"/>
    </row>
    <row r="512">
      <c r="A512" s="150"/>
      <c r="B512" s="182"/>
      <c r="C512" s="217"/>
      <c r="D512" s="150"/>
      <c r="E512" s="150"/>
      <c r="F512" s="150"/>
      <c r="G512" s="150"/>
      <c r="H512" s="150"/>
      <c r="I512" s="150"/>
      <c r="J512" s="150"/>
      <c r="K512" s="150"/>
      <c r="L512" s="150"/>
      <c r="M512" s="150"/>
      <c r="N512" s="150"/>
      <c r="O512" s="150"/>
      <c r="P512" s="150"/>
      <c r="Q512" s="150"/>
      <c r="R512" s="150"/>
      <c r="S512" s="150"/>
      <c r="T512" s="150"/>
      <c r="U512" s="150"/>
      <c r="V512" s="150"/>
      <c r="W512" s="150"/>
      <c r="X512" s="150"/>
    </row>
    <row r="513">
      <c r="A513" s="150"/>
      <c r="B513" s="182"/>
      <c r="C513" s="217"/>
      <c r="D513" s="150"/>
      <c r="E513" s="150"/>
      <c r="F513" s="150"/>
      <c r="G513" s="150"/>
      <c r="H513" s="150"/>
      <c r="I513" s="150"/>
      <c r="J513" s="150"/>
      <c r="K513" s="150"/>
      <c r="L513" s="150"/>
      <c r="M513" s="150"/>
      <c r="N513" s="150"/>
      <c r="O513" s="150"/>
      <c r="P513" s="150"/>
      <c r="Q513" s="150"/>
      <c r="R513" s="150"/>
      <c r="S513" s="150"/>
      <c r="T513" s="150"/>
      <c r="U513" s="150"/>
      <c r="V513" s="150"/>
      <c r="W513" s="150"/>
      <c r="X513" s="150"/>
    </row>
    <row r="514">
      <c r="A514" s="150"/>
      <c r="B514" s="182"/>
      <c r="C514" s="217"/>
      <c r="D514" s="150"/>
      <c r="E514" s="150"/>
      <c r="F514" s="150"/>
      <c r="G514" s="150"/>
      <c r="H514" s="150"/>
      <c r="I514" s="150"/>
      <c r="J514" s="150"/>
      <c r="K514" s="150"/>
      <c r="L514" s="150"/>
      <c r="M514" s="150"/>
      <c r="N514" s="150"/>
      <c r="O514" s="150"/>
      <c r="P514" s="150"/>
      <c r="Q514" s="150"/>
      <c r="R514" s="150"/>
      <c r="S514" s="150"/>
      <c r="T514" s="150"/>
      <c r="U514" s="150"/>
      <c r="V514" s="150"/>
      <c r="W514" s="150"/>
      <c r="X514" s="150"/>
    </row>
    <row r="515">
      <c r="A515" s="150"/>
      <c r="B515" s="182"/>
      <c r="C515" s="217"/>
      <c r="D515" s="150"/>
      <c r="E515" s="150"/>
      <c r="F515" s="150"/>
      <c r="G515" s="150"/>
      <c r="H515" s="150"/>
      <c r="I515" s="150"/>
      <c r="J515" s="150"/>
      <c r="K515" s="150"/>
      <c r="L515" s="150"/>
      <c r="M515" s="150"/>
      <c r="N515" s="150"/>
      <c r="O515" s="150"/>
      <c r="P515" s="150"/>
      <c r="Q515" s="150"/>
      <c r="R515" s="150"/>
      <c r="S515" s="150"/>
      <c r="T515" s="150"/>
      <c r="U515" s="150"/>
      <c r="V515" s="150"/>
      <c r="W515" s="150"/>
      <c r="X515" s="150"/>
    </row>
    <row r="516">
      <c r="A516" s="150"/>
      <c r="B516" s="182"/>
      <c r="C516" s="217"/>
      <c r="D516" s="150"/>
      <c r="E516" s="150"/>
      <c r="F516" s="150"/>
      <c r="G516" s="150"/>
      <c r="H516" s="150"/>
      <c r="I516" s="150"/>
      <c r="J516" s="150"/>
      <c r="K516" s="150"/>
      <c r="L516" s="150"/>
      <c r="M516" s="150"/>
      <c r="N516" s="150"/>
      <c r="O516" s="150"/>
      <c r="P516" s="150"/>
      <c r="Q516" s="150"/>
      <c r="R516" s="150"/>
      <c r="S516" s="150"/>
      <c r="T516" s="150"/>
      <c r="U516" s="150"/>
      <c r="V516" s="150"/>
      <c r="W516" s="150"/>
      <c r="X516" s="150"/>
    </row>
    <row r="517">
      <c r="A517" s="150"/>
      <c r="B517" s="182"/>
      <c r="C517" s="217"/>
      <c r="D517" s="150"/>
      <c r="E517" s="150"/>
      <c r="F517" s="150"/>
      <c r="G517" s="150"/>
      <c r="H517" s="150"/>
      <c r="I517" s="150"/>
      <c r="J517" s="150"/>
      <c r="K517" s="150"/>
      <c r="L517" s="150"/>
      <c r="M517" s="150"/>
      <c r="N517" s="150"/>
      <c r="O517" s="150"/>
      <c r="P517" s="150"/>
      <c r="Q517" s="150"/>
      <c r="R517" s="150"/>
      <c r="S517" s="150"/>
      <c r="T517" s="150"/>
      <c r="U517" s="150"/>
      <c r="V517" s="150"/>
      <c r="W517" s="150"/>
      <c r="X517" s="150"/>
    </row>
    <row r="518">
      <c r="A518" s="150"/>
      <c r="B518" s="182"/>
      <c r="C518" s="217"/>
      <c r="D518" s="150"/>
      <c r="E518" s="150"/>
      <c r="F518" s="150"/>
      <c r="G518" s="150"/>
      <c r="H518" s="150"/>
      <c r="I518" s="150"/>
      <c r="J518" s="150"/>
      <c r="K518" s="150"/>
      <c r="L518" s="150"/>
      <c r="M518" s="150"/>
      <c r="N518" s="150"/>
      <c r="O518" s="150"/>
      <c r="P518" s="150"/>
      <c r="Q518" s="150"/>
      <c r="R518" s="150"/>
      <c r="S518" s="150"/>
      <c r="T518" s="150"/>
      <c r="U518" s="150"/>
      <c r="V518" s="150"/>
      <c r="W518" s="150"/>
      <c r="X518" s="150"/>
    </row>
    <row r="519">
      <c r="A519" s="150"/>
      <c r="B519" s="182"/>
      <c r="C519" s="217"/>
      <c r="D519" s="150"/>
      <c r="E519" s="150"/>
      <c r="F519" s="150"/>
      <c r="G519" s="150"/>
      <c r="H519" s="150"/>
      <c r="I519" s="150"/>
      <c r="J519" s="150"/>
      <c r="K519" s="150"/>
      <c r="L519" s="150"/>
      <c r="M519" s="150"/>
      <c r="N519" s="150"/>
      <c r="O519" s="150"/>
      <c r="P519" s="150"/>
      <c r="Q519" s="150"/>
      <c r="R519" s="150"/>
      <c r="S519" s="150"/>
      <c r="T519" s="150"/>
      <c r="U519" s="150"/>
      <c r="V519" s="150"/>
      <c r="W519" s="150"/>
      <c r="X519" s="150"/>
    </row>
    <row r="520">
      <c r="A520" s="150"/>
      <c r="B520" s="182"/>
      <c r="C520" s="217"/>
      <c r="D520" s="150"/>
      <c r="E520" s="150"/>
      <c r="F520" s="150"/>
      <c r="G520" s="150"/>
      <c r="H520" s="150"/>
      <c r="I520" s="150"/>
      <c r="J520" s="150"/>
      <c r="K520" s="150"/>
      <c r="L520" s="150"/>
      <c r="M520" s="150"/>
      <c r="N520" s="150"/>
      <c r="O520" s="150"/>
      <c r="P520" s="150"/>
      <c r="Q520" s="150"/>
      <c r="R520" s="150"/>
      <c r="S520" s="150"/>
      <c r="T520" s="150"/>
      <c r="U520" s="150"/>
      <c r="V520" s="150"/>
      <c r="W520" s="150"/>
      <c r="X520" s="150"/>
    </row>
    <row r="521">
      <c r="A521" s="150"/>
      <c r="B521" s="182"/>
      <c r="C521" s="217"/>
      <c r="D521" s="150"/>
      <c r="E521" s="150"/>
      <c r="F521" s="150"/>
      <c r="G521" s="150"/>
      <c r="H521" s="150"/>
      <c r="I521" s="150"/>
      <c r="J521" s="150"/>
      <c r="K521" s="150"/>
      <c r="L521" s="150"/>
      <c r="M521" s="150"/>
      <c r="N521" s="150"/>
      <c r="O521" s="150"/>
      <c r="P521" s="150"/>
      <c r="Q521" s="150"/>
      <c r="R521" s="150"/>
      <c r="S521" s="150"/>
      <c r="T521" s="150"/>
      <c r="U521" s="150"/>
      <c r="V521" s="150"/>
      <c r="W521" s="150"/>
      <c r="X521" s="150"/>
    </row>
    <row r="522">
      <c r="A522" s="150"/>
      <c r="B522" s="182"/>
      <c r="C522" s="217"/>
      <c r="D522" s="150"/>
      <c r="E522" s="150"/>
      <c r="F522" s="150"/>
      <c r="G522" s="150"/>
      <c r="H522" s="150"/>
      <c r="I522" s="150"/>
      <c r="J522" s="150"/>
      <c r="K522" s="150"/>
      <c r="L522" s="150"/>
      <c r="M522" s="150"/>
      <c r="N522" s="150"/>
      <c r="O522" s="150"/>
      <c r="P522" s="150"/>
      <c r="Q522" s="150"/>
      <c r="R522" s="150"/>
      <c r="S522" s="150"/>
      <c r="T522" s="150"/>
      <c r="U522" s="150"/>
      <c r="V522" s="150"/>
      <c r="W522" s="150"/>
      <c r="X522" s="150"/>
    </row>
    <row r="523">
      <c r="A523" s="150"/>
      <c r="B523" s="182"/>
      <c r="C523" s="217"/>
      <c r="D523" s="150"/>
      <c r="E523" s="150"/>
      <c r="F523" s="150"/>
      <c r="G523" s="150"/>
      <c r="H523" s="150"/>
      <c r="I523" s="150"/>
      <c r="J523" s="150"/>
      <c r="K523" s="150"/>
      <c r="L523" s="150"/>
      <c r="M523" s="150"/>
      <c r="N523" s="150"/>
      <c r="O523" s="150"/>
      <c r="P523" s="150"/>
      <c r="Q523" s="150"/>
      <c r="R523" s="150"/>
      <c r="S523" s="150"/>
      <c r="T523" s="150"/>
      <c r="U523" s="150"/>
      <c r="V523" s="150"/>
      <c r="W523" s="150"/>
      <c r="X523" s="150"/>
    </row>
    <row r="524">
      <c r="A524" s="150"/>
      <c r="B524" s="182"/>
      <c r="C524" s="217"/>
      <c r="D524" s="150"/>
      <c r="E524" s="150"/>
      <c r="F524" s="150"/>
      <c r="G524" s="150"/>
      <c r="H524" s="150"/>
      <c r="I524" s="150"/>
      <c r="J524" s="150"/>
      <c r="K524" s="150"/>
      <c r="L524" s="150"/>
      <c r="M524" s="150"/>
      <c r="N524" s="150"/>
      <c r="O524" s="150"/>
      <c r="P524" s="150"/>
      <c r="Q524" s="150"/>
      <c r="R524" s="150"/>
      <c r="S524" s="150"/>
      <c r="T524" s="150"/>
      <c r="U524" s="150"/>
      <c r="V524" s="150"/>
      <c r="W524" s="150"/>
      <c r="X524" s="150"/>
    </row>
    <row r="525">
      <c r="A525" s="150"/>
      <c r="B525" s="182"/>
      <c r="C525" s="217"/>
      <c r="D525" s="150"/>
      <c r="E525" s="150"/>
      <c r="F525" s="150"/>
      <c r="G525" s="150"/>
      <c r="H525" s="150"/>
      <c r="I525" s="150"/>
      <c r="J525" s="150"/>
      <c r="K525" s="150"/>
      <c r="L525" s="150"/>
      <c r="M525" s="150"/>
      <c r="N525" s="150"/>
      <c r="O525" s="150"/>
      <c r="P525" s="150"/>
      <c r="Q525" s="150"/>
      <c r="R525" s="150"/>
      <c r="S525" s="150"/>
      <c r="T525" s="150"/>
      <c r="U525" s="150"/>
      <c r="V525" s="150"/>
      <c r="W525" s="150"/>
      <c r="X525" s="150"/>
    </row>
    <row r="526">
      <c r="A526" s="150"/>
      <c r="B526" s="182"/>
      <c r="C526" s="217"/>
      <c r="D526" s="150"/>
      <c r="E526" s="150"/>
      <c r="F526" s="150"/>
      <c r="G526" s="150"/>
      <c r="H526" s="150"/>
      <c r="I526" s="150"/>
      <c r="J526" s="150"/>
      <c r="K526" s="150"/>
      <c r="L526" s="150"/>
      <c r="M526" s="150"/>
      <c r="N526" s="150"/>
      <c r="O526" s="150"/>
      <c r="P526" s="150"/>
      <c r="Q526" s="150"/>
      <c r="R526" s="150"/>
      <c r="S526" s="150"/>
      <c r="T526" s="150"/>
      <c r="U526" s="150"/>
      <c r="V526" s="150"/>
      <c r="W526" s="150"/>
      <c r="X526" s="150"/>
    </row>
    <row r="527">
      <c r="A527" s="150"/>
      <c r="B527" s="182"/>
      <c r="C527" s="217"/>
      <c r="D527" s="150"/>
      <c r="E527" s="150"/>
      <c r="F527" s="150"/>
      <c r="G527" s="150"/>
      <c r="H527" s="150"/>
      <c r="I527" s="150"/>
      <c r="J527" s="150"/>
      <c r="K527" s="150"/>
      <c r="L527" s="150"/>
      <c r="M527" s="150"/>
      <c r="N527" s="150"/>
      <c r="O527" s="150"/>
      <c r="P527" s="150"/>
      <c r="Q527" s="150"/>
      <c r="R527" s="150"/>
      <c r="S527" s="150"/>
      <c r="T527" s="150"/>
      <c r="U527" s="150"/>
      <c r="V527" s="150"/>
      <c r="W527" s="150"/>
      <c r="X527" s="150"/>
    </row>
    <row r="528">
      <c r="A528" s="150"/>
      <c r="B528" s="182"/>
      <c r="C528" s="217"/>
      <c r="D528" s="150"/>
      <c r="E528" s="150"/>
      <c r="F528" s="150"/>
      <c r="G528" s="150"/>
      <c r="H528" s="150"/>
      <c r="I528" s="150"/>
      <c r="J528" s="150"/>
      <c r="K528" s="150"/>
      <c r="L528" s="150"/>
      <c r="M528" s="150"/>
      <c r="N528" s="150"/>
      <c r="O528" s="150"/>
      <c r="P528" s="150"/>
      <c r="Q528" s="150"/>
      <c r="R528" s="150"/>
      <c r="S528" s="150"/>
      <c r="T528" s="150"/>
      <c r="U528" s="150"/>
      <c r="V528" s="150"/>
      <c r="W528" s="150"/>
      <c r="X528" s="150"/>
    </row>
    <row r="529">
      <c r="A529" s="150"/>
      <c r="B529" s="182"/>
      <c r="C529" s="217"/>
      <c r="D529" s="150"/>
      <c r="E529" s="150"/>
      <c r="F529" s="150"/>
      <c r="G529" s="150"/>
      <c r="H529" s="150"/>
      <c r="I529" s="150"/>
      <c r="J529" s="150"/>
      <c r="K529" s="150"/>
      <c r="L529" s="150"/>
      <c r="M529" s="150"/>
      <c r="N529" s="150"/>
      <c r="O529" s="150"/>
      <c r="P529" s="150"/>
      <c r="Q529" s="150"/>
      <c r="R529" s="150"/>
      <c r="S529" s="150"/>
      <c r="T529" s="150"/>
      <c r="U529" s="150"/>
      <c r="V529" s="150"/>
      <c r="W529" s="150"/>
      <c r="X529" s="150"/>
    </row>
    <row r="530">
      <c r="A530" s="150"/>
      <c r="B530" s="182"/>
      <c r="C530" s="217"/>
      <c r="D530" s="150"/>
      <c r="E530" s="150"/>
      <c r="F530" s="150"/>
      <c r="G530" s="150"/>
      <c r="H530" s="150"/>
      <c r="I530" s="150"/>
      <c r="J530" s="150"/>
      <c r="K530" s="150"/>
      <c r="L530" s="150"/>
      <c r="M530" s="150"/>
      <c r="N530" s="150"/>
      <c r="O530" s="150"/>
      <c r="P530" s="150"/>
      <c r="Q530" s="150"/>
      <c r="R530" s="150"/>
      <c r="S530" s="150"/>
      <c r="T530" s="150"/>
      <c r="U530" s="150"/>
      <c r="V530" s="150"/>
      <c r="W530" s="150"/>
      <c r="X530" s="150"/>
    </row>
    <row r="531">
      <c r="A531" s="150"/>
      <c r="B531" s="182"/>
      <c r="C531" s="217"/>
      <c r="D531" s="150"/>
      <c r="E531" s="150"/>
      <c r="F531" s="150"/>
      <c r="G531" s="150"/>
      <c r="H531" s="150"/>
      <c r="I531" s="150"/>
      <c r="J531" s="150"/>
      <c r="K531" s="150"/>
      <c r="L531" s="150"/>
      <c r="M531" s="150"/>
      <c r="N531" s="150"/>
      <c r="O531" s="150"/>
      <c r="P531" s="150"/>
      <c r="Q531" s="150"/>
      <c r="R531" s="150"/>
      <c r="S531" s="150"/>
      <c r="T531" s="150"/>
      <c r="U531" s="150"/>
      <c r="V531" s="150"/>
      <c r="W531" s="150"/>
      <c r="X531" s="150"/>
    </row>
    <row r="532">
      <c r="A532" s="150"/>
      <c r="B532" s="182"/>
      <c r="C532" s="217"/>
      <c r="D532" s="150"/>
      <c r="E532" s="150"/>
      <c r="F532" s="150"/>
      <c r="G532" s="150"/>
      <c r="H532" s="150"/>
      <c r="I532" s="150"/>
      <c r="J532" s="150"/>
      <c r="K532" s="150"/>
      <c r="L532" s="150"/>
      <c r="M532" s="150"/>
      <c r="N532" s="150"/>
      <c r="O532" s="150"/>
      <c r="P532" s="150"/>
      <c r="Q532" s="150"/>
      <c r="R532" s="150"/>
      <c r="S532" s="150"/>
      <c r="T532" s="150"/>
      <c r="U532" s="150"/>
      <c r="V532" s="150"/>
      <c r="W532" s="150"/>
      <c r="X532" s="150"/>
    </row>
    <row r="533">
      <c r="A533" s="150"/>
      <c r="B533" s="182"/>
      <c r="C533" s="217"/>
      <c r="D533" s="150"/>
      <c r="E533" s="150"/>
      <c r="F533" s="150"/>
      <c r="G533" s="150"/>
      <c r="H533" s="150"/>
      <c r="I533" s="150"/>
      <c r="J533" s="150"/>
      <c r="K533" s="150"/>
      <c r="L533" s="150"/>
      <c r="M533" s="150"/>
      <c r="N533" s="150"/>
      <c r="O533" s="150"/>
      <c r="P533" s="150"/>
      <c r="Q533" s="150"/>
      <c r="R533" s="150"/>
      <c r="S533" s="150"/>
      <c r="T533" s="150"/>
      <c r="U533" s="150"/>
      <c r="V533" s="150"/>
      <c r="W533" s="150"/>
      <c r="X533" s="150"/>
    </row>
    <row r="534">
      <c r="A534" s="150"/>
      <c r="B534" s="182"/>
      <c r="C534" s="217"/>
      <c r="D534" s="150"/>
      <c r="E534" s="150"/>
      <c r="F534" s="150"/>
      <c r="G534" s="150"/>
      <c r="H534" s="150"/>
      <c r="I534" s="150"/>
      <c r="J534" s="150"/>
      <c r="K534" s="150"/>
      <c r="L534" s="150"/>
      <c r="M534" s="150"/>
      <c r="N534" s="150"/>
      <c r="O534" s="150"/>
      <c r="P534" s="150"/>
      <c r="Q534" s="150"/>
      <c r="R534" s="150"/>
      <c r="S534" s="150"/>
      <c r="T534" s="150"/>
      <c r="U534" s="150"/>
      <c r="V534" s="150"/>
      <c r="W534" s="150"/>
      <c r="X534" s="150"/>
    </row>
    <row r="535">
      <c r="A535" s="150"/>
      <c r="B535" s="182"/>
      <c r="C535" s="217"/>
      <c r="D535" s="150"/>
      <c r="E535" s="150"/>
      <c r="F535" s="150"/>
      <c r="G535" s="150"/>
      <c r="H535" s="150"/>
      <c r="I535" s="150"/>
      <c r="J535" s="150"/>
      <c r="K535" s="150"/>
      <c r="L535" s="150"/>
      <c r="M535" s="150"/>
      <c r="N535" s="150"/>
      <c r="O535" s="150"/>
      <c r="P535" s="150"/>
      <c r="Q535" s="150"/>
      <c r="R535" s="150"/>
      <c r="S535" s="150"/>
      <c r="T535" s="150"/>
      <c r="U535" s="150"/>
      <c r="V535" s="150"/>
      <c r="W535" s="150"/>
      <c r="X535" s="150"/>
    </row>
    <row r="536">
      <c r="A536" s="150"/>
      <c r="B536" s="182"/>
      <c r="C536" s="217"/>
      <c r="D536" s="150"/>
      <c r="E536" s="150"/>
      <c r="F536" s="150"/>
      <c r="G536" s="150"/>
      <c r="H536" s="150"/>
      <c r="I536" s="150"/>
      <c r="J536" s="150"/>
      <c r="K536" s="150"/>
      <c r="L536" s="150"/>
      <c r="M536" s="150"/>
      <c r="N536" s="150"/>
      <c r="O536" s="150"/>
      <c r="P536" s="150"/>
      <c r="Q536" s="150"/>
      <c r="R536" s="150"/>
      <c r="S536" s="150"/>
      <c r="T536" s="150"/>
      <c r="U536" s="150"/>
      <c r="V536" s="150"/>
      <c r="W536" s="150"/>
      <c r="X536" s="150"/>
    </row>
    <row r="537">
      <c r="A537" s="150"/>
      <c r="B537" s="182"/>
      <c r="C537" s="217"/>
      <c r="D537" s="150"/>
      <c r="E537" s="150"/>
      <c r="F537" s="150"/>
      <c r="G537" s="150"/>
      <c r="H537" s="150"/>
      <c r="I537" s="150"/>
      <c r="J537" s="150"/>
      <c r="K537" s="150"/>
      <c r="L537" s="150"/>
      <c r="M537" s="150"/>
      <c r="N537" s="150"/>
      <c r="O537" s="150"/>
      <c r="P537" s="150"/>
      <c r="Q537" s="150"/>
      <c r="R537" s="150"/>
      <c r="S537" s="150"/>
      <c r="T537" s="150"/>
      <c r="U537" s="150"/>
      <c r="V537" s="150"/>
      <c r="W537" s="150"/>
      <c r="X537" s="150"/>
    </row>
    <row r="538">
      <c r="A538" s="150"/>
      <c r="B538" s="182"/>
      <c r="C538" s="217"/>
      <c r="D538" s="150"/>
      <c r="E538" s="150"/>
      <c r="F538" s="150"/>
      <c r="G538" s="150"/>
      <c r="H538" s="150"/>
      <c r="I538" s="150"/>
      <c r="J538" s="150"/>
      <c r="K538" s="150"/>
      <c r="L538" s="150"/>
      <c r="M538" s="150"/>
      <c r="N538" s="150"/>
      <c r="O538" s="150"/>
      <c r="P538" s="150"/>
      <c r="Q538" s="150"/>
      <c r="R538" s="150"/>
      <c r="S538" s="150"/>
      <c r="T538" s="150"/>
      <c r="U538" s="150"/>
      <c r="V538" s="150"/>
      <c r="W538" s="150"/>
      <c r="X538" s="150"/>
    </row>
    <row r="539">
      <c r="A539" s="150"/>
      <c r="B539" s="182"/>
      <c r="C539" s="217"/>
      <c r="D539" s="150"/>
      <c r="E539" s="150"/>
      <c r="F539" s="150"/>
      <c r="G539" s="150"/>
      <c r="H539" s="150"/>
      <c r="I539" s="150"/>
      <c r="J539" s="150"/>
      <c r="K539" s="150"/>
      <c r="L539" s="150"/>
      <c r="M539" s="150"/>
      <c r="N539" s="150"/>
      <c r="O539" s="150"/>
      <c r="P539" s="150"/>
      <c r="Q539" s="150"/>
      <c r="R539" s="150"/>
      <c r="S539" s="150"/>
      <c r="T539" s="150"/>
      <c r="U539" s="150"/>
      <c r="V539" s="150"/>
      <c r="W539" s="150"/>
      <c r="X539" s="150"/>
    </row>
    <row r="540">
      <c r="A540" s="150"/>
      <c r="B540" s="182"/>
      <c r="C540" s="217"/>
      <c r="D540" s="150"/>
      <c r="E540" s="150"/>
      <c r="F540" s="150"/>
      <c r="G540" s="150"/>
      <c r="H540" s="150"/>
      <c r="I540" s="150"/>
      <c r="J540" s="150"/>
      <c r="K540" s="150"/>
      <c r="L540" s="150"/>
      <c r="M540" s="150"/>
      <c r="N540" s="150"/>
      <c r="O540" s="150"/>
      <c r="P540" s="150"/>
      <c r="Q540" s="150"/>
      <c r="R540" s="150"/>
      <c r="S540" s="150"/>
      <c r="T540" s="150"/>
      <c r="U540" s="150"/>
      <c r="V540" s="150"/>
      <c r="W540" s="150"/>
      <c r="X540" s="150"/>
    </row>
    <row r="541">
      <c r="A541" s="150"/>
      <c r="B541" s="182"/>
      <c r="C541" s="217"/>
      <c r="D541" s="150"/>
      <c r="E541" s="150"/>
      <c r="F541" s="150"/>
      <c r="G541" s="150"/>
      <c r="H541" s="150"/>
      <c r="I541" s="150"/>
      <c r="J541" s="150"/>
      <c r="K541" s="150"/>
      <c r="L541" s="150"/>
      <c r="M541" s="150"/>
      <c r="N541" s="150"/>
      <c r="O541" s="150"/>
      <c r="P541" s="150"/>
      <c r="Q541" s="150"/>
      <c r="R541" s="150"/>
      <c r="S541" s="150"/>
      <c r="T541" s="150"/>
      <c r="U541" s="150"/>
      <c r="V541" s="150"/>
      <c r="W541" s="150"/>
      <c r="X541" s="150"/>
    </row>
    <row r="542">
      <c r="A542" s="150"/>
      <c r="B542" s="182"/>
      <c r="C542" s="217"/>
      <c r="D542" s="150"/>
      <c r="E542" s="150"/>
      <c r="F542" s="150"/>
      <c r="G542" s="150"/>
      <c r="H542" s="150"/>
      <c r="I542" s="150"/>
      <c r="J542" s="150"/>
      <c r="K542" s="150"/>
      <c r="L542" s="150"/>
      <c r="M542" s="150"/>
      <c r="N542" s="150"/>
      <c r="O542" s="150"/>
      <c r="P542" s="150"/>
      <c r="Q542" s="150"/>
      <c r="R542" s="150"/>
      <c r="S542" s="150"/>
      <c r="T542" s="150"/>
      <c r="U542" s="150"/>
      <c r="V542" s="150"/>
      <c r="W542" s="150"/>
      <c r="X542" s="150"/>
    </row>
    <row r="543">
      <c r="A543" s="150"/>
      <c r="B543" s="182"/>
      <c r="C543" s="217"/>
      <c r="D543" s="150"/>
      <c r="E543" s="150"/>
      <c r="F543" s="150"/>
      <c r="G543" s="150"/>
      <c r="H543" s="150"/>
      <c r="I543" s="150"/>
      <c r="J543" s="150"/>
      <c r="K543" s="150"/>
      <c r="L543" s="150"/>
      <c r="M543" s="150"/>
      <c r="N543" s="150"/>
      <c r="O543" s="150"/>
      <c r="P543" s="150"/>
      <c r="Q543" s="150"/>
      <c r="R543" s="150"/>
      <c r="S543" s="150"/>
      <c r="T543" s="150"/>
      <c r="U543" s="150"/>
      <c r="V543" s="150"/>
      <c r="W543" s="150"/>
      <c r="X543" s="150"/>
    </row>
    <row r="544">
      <c r="A544" s="150"/>
      <c r="B544" s="182"/>
      <c r="C544" s="217"/>
      <c r="D544" s="150"/>
      <c r="E544" s="150"/>
      <c r="F544" s="150"/>
      <c r="G544" s="150"/>
      <c r="H544" s="150"/>
      <c r="I544" s="150"/>
      <c r="J544" s="150"/>
      <c r="K544" s="150"/>
      <c r="L544" s="150"/>
      <c r="M544" s="150"/>
      <c r="N544" s="150"/>
      <c r="O544" s="150"/>
      <c r="P544" s="150"/>
      <c r="Q544" s="150"/>
      <c r="R544" s="150"/>
      <c r="S544" s="150"/>
      <c r="T544" s="150"/>
      <c r="U544" s="150"/>
      <c r="V544" s="150"/>
      <c r="W544" s="150"/>
      <c r="X544" s="150"/>
    </row>
    <row r="545">
      <c r="A545" s="150"/>
      <c r="B545" s="182"/>
      <c r="C545" s="217"/>
      <c r="D545" s="150"/>
      <c r="E545" s="150"/>
      <c r="F545" s="150"/>
      <c r="G545" s="150"/>
      <c r="H545" s="150"/>
      <c r="I545" s="150"/>
      <c r="J545" s="150"/>
      <c r="K545" s="150"/>
      <c r="L545" s="150"/>
      <c r="M545" s="150"/>
      <c r="N545" s="150"/>
      <c r="O545" s="150"/>
      <c r="P545" s="150"/>
      <c r="Q545" s="150"/>
      <c r="R545" s="150"/>
      <c r="S545" s="150"/>
      <c r="T545" s="150"/>
      <c r="U545" s="150"/>
      <c r="V545" s="150"/>
      <c r="W545" s="150"/>
      <c r="X545" s="150"/>
    </row>
    <row r="546">
      <c r="A546" s="150"/>
      <c r="B546" s="182"/>
      <c r="C546" s="217"/>
      <c r="D546" s="150"/>
      <c r="E546" s="150"/>
      <c r="F546" s="150"/>
      <c r="G546" s="150"/>
      <c r="H546" s="150"/>
      <c r="I546" s="150"/>
      <c r="J546" s="150"/>
      <c r="K546" s="150"/>
      <c r="L546" s="150"/>
      <c r="M546" s="150"/>
      <c r="N546" s="150"/>
      <c r="O546" s="150"/>
      <c r="P546" s="150"/>
      <c r="Q546" s="150"/>
      <c r="R546" s="150"/>
      <c r="S546" s="150"/>
      <c r="T546" s="150"/>
      <c r="U546" s="150"/>
      <c r="V546" s="150"/>
      <c r="W546" s="150"/>
      <c r="X546" s="150"/>
    </row>
    <row r="547">
      <c r="A547" s="150"/>
      <c r="B547" s="182"/>
      <c r="C547" s="217"/>
      <c r="D547" s="150"/>
      <c r="E547" s="150"/>
      <c r="F547" s="150"/>
      <c r="G547" s="150"/>
      <c r="H547" s="150"/>
      <c r="I547" s="150"/>
      <c r="J547" s="150"/>
      <c r="K547" s="150"/>
      <c r="L547" s="150"/>
      <c r="M547" s="150"/>
      <c r="N547" s="150"/>
      <c r="O547" s="150"/>
      <c r="P547" s="150"/>
      <c r="Q547" s="150"/>
      <c r="R547" s="150"/>
      <c r="S547" s="150"/>
      <c r="T547" s="150"/>
      <c r="U547" s="150"/>
      <c r="V547" s="150"/>
      <c r="W547" s="150"/>
      <c r="X547" s="150"/>
    </row>
    <row r="548">
      <c r="A548" s="150"/>
      <c r="B548" s="182"/>
      <c r="C548" s="217"/>
      <c r="D548" s="150"/>
      <c r="E548" s="150"/>
      <c r="F548" s="150"/>
      <c r="G548" s="150"/>
      <c r="H548" s="150"/>
      <c r="I548" s="150"/>
      <c r="J548" s="150"/>
      <c r="K548" s="150"/>
      <c r="L548" s="150"/>
      <c r="M548" s="150"/>
      <c r="N548" s="150"/>
      <c r="O548" s="150"/>
      <c r="P548" s="150"/>
      <c r="Q548" s="150"/>
      <c r="R548" s="150"/>
      <c r="S548" s="150"/>
      <c r="T548" s="150"/>
      <c r="U548" s="150"/>
      <c r="V548" s="150"/>
      <c r="W548" s="150"/>
      <c r="X548" s="150"/>
    </row>
    <row r="549">
      <c r="A549" s="150"/>
      <c r="B549" s="182"/>
      <c r="C549" s="217"/>
      <c r="D549" s="150"/>
      <c r="E549" s="150"/>
      <c r="F549" s="150"/>
      <c r="G549" s="150"/>
      <c r="H549" s="150"/>
      <c r="I549" s="150"/>
      <c r="J549" s="150"/>
      <c r="K549" s="150"/>
      <c r="L549" s="150"/>
      <c r="M549" s="150"/>
      <c r="N549" s="150"/>
      <c r="O549" s="150"/>
      <c r="P549" s="150"/>
      <c r="Q549" s="150"/>
      <c r="R549" s="150"/>
      <c r="S549" s="150"/>
      <c r="T549" s="150"/>
      <c r="U549" s="150"/>
      <c r="V549" s="150"/>
      <c r="W549" s="150"/>
      <c r="X549" s="150"/>
    </row>
    <row r="550">
      <c r="A550" s="150"/>
      <c r="B550" s="182"/>
      <c r="C550" s="217"/>
      <c r="D550" s="150"/>
      <c r="E550" s="150"/>
      <c r="F550" s="150"/>
      <c r="G550" s="150"/>
      <c r="H550" s="150"/>
      <c r="I550" s="150"/>
      <c r="J550" s="150"/>
      <c r="K550" s="150"/>
      <c r="L550" s="150"/>
      <c r="M550" s="150"/>
      <c r="N550" s="150"/>
      <c r="O550" s="150"/>
      <c r="P550" s="150"/>
      <c r="Q550" s="150"/>
      <c r="R550" s="150"/>
      <c r="S550" s="150"/>
      <c r="T550" s="150"/>
      <c r="U550" s="150"/>
      <c r="V550" s="150"/>
      <c r="W550" s="150"/>
      <c r="X550" s="150"/>
    </row>
    <row r="551">
      <c r="A551" s="150"/>
      <c r="B551" s="182"/>
      <c r="C551" s="217"/>
      <c r="D551" s="150"/>
      <c r="E551" s="150"/>
      <c r="F551" s="150"/>
      <c r="G551" s="150"/>
      <c r="H551" s="150"/>
      <c r="I551" s="150"/>
      <c r="J551" s="150"/>
      <c r="K551" s="150"/>
      <c r="L551" s="150"/>
      <c r="M551" s="150"/>
      <c r="N551" s="150"/>
      <c r="O551" s="150"/>
      <c r="P551" s="150"/>
      <c r="Q551" s="150"/>
      <c r="R551" s="150"/>
      <c r="S551" s="150"/>
      <c r="T551" s="150"/>
      <c r="U551" s="150"/>
      <c r="V551" s="150"/>
      <c r="W551" s="150"/>
      <c r="X551" s="150"/>
    </row>
    <row r="552">
      <c r="A552" s="150"/>
      <c r="B552" s="182"/>
      <c r="C552" s="217"/>
      <c r="D552" s="150"/>
      <c r="E552" s="150"/>
      <c r="F552" s="150"/>
      <c r="G552" s="150"/>
      <c r="H552" s="150"/>
      <c r="I552" s="150"/>
      <c r="J552" s="150"/>
      <c r="K552" s="150"/>
      <c r="L552" s="150"/>
      <c r="M552" s="150"/>
      <c r="N552" s="150"/>
      <c r="O552" s="150"/>
      <c r="P552" s="150"/>
      <c r="Q552" s="150"/>
      <c r="R552" s="150"/>
      <c r="S552" s="150"/>
      <c r="T552" s="150"/>
      <c r="U552" s="150"/>
      <c r="V552" s="150"/>
      <c r="W552" s="150"/>
      <c r="X552" s="150"/>
    </row>
    <row r="553">
      <c r="A553" s="150"/>
      <c r="B553" s="182"/>
      <c r="C553" s="217"/>
      <c r="D553" s="150"/>
      <c r="E553" s="150"/>
      <c r="F553" s="150"/>
      <c r="G553" s="150"/>
      <c r="H553" s="150"/>
      <c r="I553" s="150"/>
      <c r="J553" s="150"/>
      <c r="K553" s="150"/>
      <c r="L553" s="150"/>
      <c r="M553" s="150"/>
      <c r="N553" s="150"/>
      <c r="O553" s="150"/>
      <c r="P553" s="150"/>
      <c r="Q553" s="150"/>
      <c r="R553" s="150"/>
      <c r="S553" s="150"/>
      <c r="T553" s="150"/>
      <c r="U553" s="150"/>
      <c r="V553" s="150"/>
      <c r="W553" s="150"/>
      <c r="X553" s="150"/>
    </row>
    <row r="554">
      <c r="A554" s="150"/>
      <c r="B554" s="182"/>
      <c r="C554" s="217"/>
      <c r="D554" s="150"/>
      <c r="E554" s="150"/>
      <c r="F554" s="150"/>
      <c r="G554" s="150"/>
      <c r="H554" s="150"/>
      <c r="I554" s="150"/>
      <c r="J554" s="150"/>
      <c r="K554" s="150"/>
      <c r="L554" s="150"/>
      <c r="M554" s="150"/>
      <c r="N554" s="150"/>
      <c r="O554" s="150"/>
      <c r="P554" s="150"/>
      <c r="Q554" s="150"/>
      <c r="R554" s="150"/>
      <c r="S554" s="150"/>
      <c r="T554" s="150"/>
      <c r="U554" s="150"/>
      <c r="V554" s="150"/>
      <c r="W554" s="150"/>
      <c r="X554" s="150"/>
    </row>
    <row r="555">
      <c r="A555" s="150"/>
      <c r="B555" s="182"/>
      <c r="C555" s="217"/>
      <c r="D555" s="150"/>
      <c r="E555" s="150"/>
      <c r="F555" s="150"/>
      <c r="G555" s="150"/>
      <c r="H555" s="150"/>
      <c r="I555" s="150"/>
      <c r="J555" s="150"/>
      <c r="K555" s="150"/>
      <c r="L555" s="150"/>
      <c r="M555" s="150"/>
      <c r="N555" s="150"/>
      <c r="O555" s="150"/>
      <c r="P555" s="150"/>
      <c r="Q555" s="150"/>
      <c r="R555" s="150"/>
      <c r="S555" s="150"/>
      <c r="T555" s="150"/>
      <c r="U555" s="150"/>
      <c r="V555" s="150"/>
      <c r="W555" s="150"/>
      <c r="X555" s="150"/>
    </row>
    <row r="556">
      <c r="A556" s="150"/>
      <c r="B556" s="182"/>
      <c r="C556" s="217"/>
      <c r="D556" s="150"/>
      <c r="E556" s="150"/>
      <c r="F556" s="150"/>
      <c r="G556" s="150"/>
      <c r="H556" s="150"/>
      <c r="I556" s="150"/>
      <c r="J556" s="150"/>
      <c r="K556" s="150"/>
      <c r="L556" s="150"/>
      <c r="M556" s="150"/>
      <c r="N556" s="150"/>
      <c r="O556" s="150"/>
      <c r="P556" s="150"/>
      <c r="Q556" s="150"/>
      <c r="R556" s="150"/>
      <c r="S556" s="150"/>
      <c r="T556" s="150"/>
      <c r="U556" s="150"/>
      <c r="V556" s="150"/>
      <c r="W556" s="150"/>
      <c r="X556" s="150"/>
    </row>
    <row r="557">
      <c r="A557" s="150"/>
      <c r="B557" s="182"/>
      <c r="C557" s="217"/>
      <c r="D557" s="150"/>
      <c r="E557" s="150"/>
      <c r="F557" s="150"/>
      <c r="G557" s="150"/>
      <c r="H557" s="150"/>
      <c r="I557" s="150"/>
      <c r="J557" s="150"/>
      <c r="K557" s="150"/>
      <c r="L557" s="150"/>
      <c r="M557" s="150"/>
      <c r="N557" s="150"/>
      <c r="O557" s="150"/>
      <c r="P557" s="150"/>
      <c r="Q557" s="150"/>
      <c r="R557" s="150"/>
      <c r="S557" s="150"/>
      <c r="T557" s="150"/>
      <c r="U557" s="150"/>
      <c r="V557" s="150"/>
      <c r="W557" s="150"/>
      <c r="X557" s="150"/>
    </row>
    <row r="558">
      <c r="A558" s="150"/>
      <c r="B558" s="182"/>
      <c r="C558" s="217"/>
      <c r="D558" s="150"/>
      <c r="E558" s="150"/>
      <c r="F558" s="150"/>
      <c r="G558" s="150"/>
      <c r="H558" s="150"/>
      <c r="I558" s="150"/>
      <c r="J558" s="150"/>
      <c r="K558" s="150"/>
      <c r="L558" s="150"/>
      <c r="M558" s="150"/>
      <c r="N558" s="150"/>
      <c r="O558" s="150"/>
      <c r="P558" s="150"/>
      <c r="Q558" s="150"/>
      <c r="R558" s="150"/>
      <c r="S558" s="150"/>
      <c r="T558" s="150"/>
      <c r="U558" s="150"/>
      <c r="V558" s="150"/>
      <c r="W558" s="150"/>
      <c r="X558" s="150"/>
    </row>
    <row r="559">
      <c r="A559" s="150"/>
      <c r="B559" s="182"/>
      <c r="C559" s="217"/>
      <c r="D559" s="150"/>
      <c r="E559" s="150"/>
      <c r="F559" s="150"/>
      <c r="G559" s="150"/>
      <c r="H559" s="150"/>
      <c r="I559" s="150"/>
      <c r="J559" s="150"/>
      <c r="K559" s="150"/>
      <c r="L559" s="150"/>
      <c r="M559" s="150"/>
      <c r="N559" s="150"/>
      <c r="O559" s="150"/>
      <c r="P559" s="150"/>
      <c r="Q559" s="150"/>
      <c r="R559" s="150"/>
      <c r="S559" s="150"/>
      <c r="T559" s="150"/>
      <c r="U559" s="150"/>
      <c r="V559" s="150"/>
      <c r="W559" s="150"/>
      <c r="X559" s="150"/>
    </row>
    <row r="560">
      <c r="A560" s="150"/>
      <c r="B560" s="182"/>
      <c r="C560" s="217"/>
      <c r="D560" s="150"/>
      <c r="E560" s="150"/>
      <c r="F560" s="150"/>
      <c r="G560" s="150"/>
      <c r="H560" s="150"/>
      <c r="I560" s="150"/>
      <c r="J560" s="150"/>
      <c r="K560" s="150"/>
      <c r="L560" s="150"/>
      <c r="M560" s="150"/>
      <c r="N560" s="150"/>
      <c r="O560" s="150"/>
      <c r="P560" s="150"/>
      <c r="Q560" s="150"/>
      <c r="R560" s="150"/>
      <c r="S560" s="150"/>
      <c r="T560" s="150"/>
      <c r="U560" s="150"/>
      <c r="V560" s="150"/>
      <c r="W560" s="150"/>
      <c r="X560" s="150"/>
    </row>
    <row r="561">
      <c r="A561" s="150"/>
      <c r="B561" s="182"/>
      <c r="C561" s="217"/>
      <c r="D561" s="150"/>
      <c r="E561" s="150"/>
      <c r="F561" s="150"/>
      <c r="G561" s="150"/>
      <c r="H561" s="150"/>
      <c r="I561" s="150"/>
      <c r="J561" s="150"/>
      <c r="K561" s="150"/>
      <c r="L561" s="150"/>
      <c r="M561" s="150"/>
      <c r="N561" s="150"/>
      <c r="O561" s="150"/>
      <c r="P561" s="150"/>
      <c r="Q561" s="150"/>
      <c r="R561" s="150"/>
      <c r="S561" s="150"/>
      <c r="T561" s="150"/>
      <c r="U561" s="150"/>
      <c r="V561" s="150"/>
      <c r="W561" s="150"/>
      <c r="X561" s="150"/>
    </row>
    <row r="562">
      <c r="A562" s="150"/>
      <c r="B562" s="182"/>
      <c r="C562" s="217"/>
      <c r="D562" s="150"/>
      <c r="E562" s="150"/>
      <c r="F562" s="150"/>
      <c r="G562" s="150"/>
      <c r="H562" s="150"/>
      <c r="I562" s="150"/>
      <c r="J562" s="150"/>
      <c r="K562" s="150"/>
      <c r="L562" s="150"/>
      <c r="M562" s="150"/>
      <c r="N562" s="150"/>
      <c r="O562" s="150"/>
      <c r="P562" s="150"/>
      <c r="Q562" s="150"/>
      <c r="R562" s="150"/>
      <c r="S562" s="150"/>
      <c r="T562" s="150"/>
      <c r="U562" s="150"/>
      <c r="V562" s="150"/>
      <c r="W562" s="150"/>
      <c r="X562" s="150"/>
    </row>
    <row r="563">
      <c r="A563" s="150"/>
      <c r="B563" s="182"/>
      <c r="C563" s="217"/>
      <c r="D563" s="150"/>
      <c r="E563" s="150"/>
      <c r="F563" s="150"/>
      <c r="G563" s="150"/>
      <c r="H563" s="150"/>
      <c r="I563" s="150"/>
      <c r="J563" s="150"/>
      <c r="K563" s="150"/>
      <c r="L563" s="150"/>
      <c r="M563" s="150"/>
      <c r="N563" s="150"/>
      <c r="O563" s="150"/>
      <c r="P563" s="150"/>
      <c r="Q563" s="150"/>
      <c r="R563" s="150"/>
      <c r="S563" s="150"/>
      <c r="T563" s="150"/>
      <c r="U563" s="150"/>
      <c r="V563" s="150"/>
      <c r="W563" s="150"/>
      <c r="X563" s="150"/>
    </row>
    <row r="564">
      <c r="A564" s="150"/>
      <c r="B564" s="182"/>
      <c r="C564" s="217"/>
      <c r="D564" s="150"/>
      <c r="E564" s="150"/>
      <c r="F564" s="150"/>
      <c r="G564" s="150"/>
      <c r="H564" s="150"/>
      <c r="I564" s="150"/>
      <c r="J564" s="150"/>
      <c r="K564" s="150"/>
      <c r="L564" s="150"/>
      <c r="M564" s="150"/>
      <c r="N564" s="150"/>
      <c r="O564" s="150"/>
      <c r="P564" s="150"/>
      <c r="Q564" s="150"/>
      <c r="R564" s="150"/>
      <c r="S564" s="150"/>
      <c r="T564" s="150"/>
      <c r="U564" s="150"/>
      <c r="V564" s="150"/>
      <c r="W564" s="150"/>
      <c r="X564" s="150"/>
    </row>
    <row r="565">
      <c r="A565" s="150"/>
      <c r="B565" s="182"/>
      <c r="C565" s="217"/>
      <c r="D565" s="150"/>
      <c r="E565" s="150"/>
      <c r="F565" s="150"/>
      <c r="G565" s="150"/>
      <c r="H565" s="150"/>
      <c r="I565" s="150"/>
      <c r="J565" s="150"/>
      <c r="K565" s="150"/>
      <c r="L565" s="150"/>
      <c r="M565" s="150"/>
      <c r="N565" s="150"/>
      <c r="O565" s="150"/>
      <c r="P565" s="150"/>
      <c r="Q565" s="150"/>
      <c r="R565" s="150"/>
      <c r="S565" s="150"/>
      <c r="T565" s="150"/>
      <c r="U565" s="150"/>
      <c r="V565" s="150"/>
      <c r="W565" s="150"/>
      <c r="X565" s="150"/>
    </row>
    <row r="566">
      <c r="A566" s="150"/>
      <c r="B566" s="182"/>
      <c r="C566" s="217"/>
      <c r="D566" s="150"/>
      <c r="E566" s="150"/>
      <c r="F566" s="150"/>
      <c r="G566" s="150"/>
      <c r="H566" s="150"/>
      <c r="I566" s="150"/>
      <c r="J566" s="150"/>
      <c r="K566" s="150"/>
      <c r="L566" s="150"/>
      <c r="M566" s="150"/>
      <c r="N566" s="150"/>
      <c r="O566" s="150"/>
      <c r="P566" s="150"/>
      <c r="Q566" s="150"/>
      <c r="R566" s="150"/>
      <c r="S566" s="150"/>
      <c r="T566" s="150"/>
      <c r="U566" s="150"/>
      <c r="V566" s="150"/>
      <c r="W566" s="150"/>
      <c r="X566" s="150"/>
    </row>
    <row r="567">
      <c r="A567" s="150"/>
      <c r="B567" s="182"/>
      <c r="C567" s="217"/>
      <c r="D567" s="150"/>
      <c r="E567" s="150"/>
      <c r="F567" s="150"/>
      <c r="G567" s="150"/>
      <c r="H567" s="150"/>
      <c r="I567" s="150"/>
      <c r="J567" s="150"/>
      <c r="K567" s="150"/>
      <c r="L567" s="150"/>
      <c r="M567" s="150"/>
      <c r="N567" s="150"/>
      <c r="O567" s="150"/>
      <c r="P567" s="150"/>
      <c r="Q567" s="150"/>
      <c r="R567" s="150"/>
      <c r="S567" s="150"/>
      <c r="T567" s="150"/>
      <c r="U567" s="150"/>
      <c r="V567" s="150"/>
      <c r="W567" s="150"/>
      <c r="X567" s="150"/>
    </row>
    <row r="568">
      <c r="A568" s="150"/>
      <c r="B568" s="182"/>
      <c r="C568" s="217"/>
      <c r="D568" s="150"/>
      <c r="E568" s="150"/>
      <c r="F568" s="150"/>
      <c r="G568" s="150"/>
      <c r="H568" s="150"/>
      <c r="I568" s="150"/>
      <c r="J568" s="150"/>
      <c r="K568" s="150"/>
      <c r="L568" s="150"/>
      <c r="M568" s="150"/>
      <c r="N568" s="150"/>
      <c r="O568" s="150"/>
      <c r="P568" s="150"/>
      <c r="Q568" s="150"/>
      <c r="R568" s="150"/>
      <c r="S568" s="150"/>
      <c r="T568" s="150"/>
      <c r="U568" s="150"/>
      <c r="V568" s="150"/>
      <c r="W568" s="150"/>
      <c r="X568" s="150"/>
    </row>
    <row r="569">
      <c r="A569" s="150"/>
      <c r="B569" s="182"/>
      <c r="C569" s="217"/>
      <c r="D569" s="150"/>
      <c r="E569" s="150"/>
      <c r="F569" s="150"/>
      <c r="G569" s="150"/>
      <c r="H569" s="150"/>
      <c r="I569" s="150"/>
      <c r="J569" s="150"/>
      <c r="K569" s="150"/>
      <c r="L569" s="150"/>
      <c r="M569" s="150"/>
      <c r="N569" s="150"/>
      <c r="O569" s="150"/>
      <c r="P569" s="150"/>
      <c r="Q569" s="150"/>
      <c r="R569" s="150"/>
      <c r="S569" s="150"/>
      <c r="T569" s="150"/>
      <c r="U569" s="150"/>
      <c r="V569" s="150"/>
      <c r="W569" s="150"/>
      <c r="X569" s="150"/>
    </row>
    <row r="570">
      <c r="A570" s="150"/>
      <c r="B570" s="182"/>
      <c r="C570" s="217"/>
      <c r="D570" s="150"/>
      <c r="E570" s="150"/>
      <c r="F570" s="150"/>
      <c r="G570" s="150"/>
      <c r="H570" s="150"/>
      <c r="I570" s="150"/>
      <c r="J570" s="150"/>
      <c r="K570" s="150"/>
      <c r="L570" s="150"/>
      <c r="M570" s="150"/>
      <c r="N570" s="150"/>
      <c r="O570" s="150"/>
      <c r="P570" s="150"/>
      <c r="Q570" s="150"/>
      <c r="R570" s="150"/>
      <c r="S570" s="150"/>
      <c r="T570" s="150"/>
      <c r="U570" s="150"/>
      <c r="V570" s="150"/>
      <c r="W570" s="150"/>
      <c r="X570" s="150"/>
    </row>
    <row r="571">
      <c r="A571" s="150"/>
      <c r="B571" s="182"/>
      <c r="C571" s="217"/>
      <c r="D571" s="150"/>
      <c r="E571" s="150"/>
      <c r="F571" s="150"/>
      <c r="G571" s="150"/>
      <c r="H571" s="150"/>
      <c r="I571" s="150"/>
      <c r="J571" s="150"/>
      <c r="K571" s="150"/>
      <c r="L571" s="150"/>
      <c r="M571" s="150"/>
      <c r="N571" s="150"/>
      <c r="O571" s="150"/>
      <c r="P571" s="150"/>
      <c r="Q571" s="150"/>
      <c r="R571" s="150"/>
      <c r="S571" s="150"/>
      <c r="T571" s="150"/>
      <c r="U571" s="150"/>
      <c r="V571" s="150"/>
      <c r="W571" s="150"/>
      <c r="X571" s="150"/>
    </row>
    <row r="572">
      <c r="A572" s="150"/>
      <c r="B572" s="182"/>
      <c r="C572" s="217"/>
      <c r="D572" s="150"/>
      <c r="E572" s="150"/>
      <c r="F572" s="150"/>
      <c r="G572" s="150"/>
      <c r="H572" s="150"/>
      <c r="I572" s="150"/>
      <c r="J572" s="150"/>
      <c r="K572" s="150"/>
      <c r="L572" s="150"/>
      <c r="M572" s="150"/>
      <c r="N572" s="150"/>
      <c r="O572" s="150"/>
      <c r="P572" s="150"/>
      <c r="Q572" s="150"/>
      <c r="R572" s="150"/>
      <c r="S572" s="150"/>
      <c r="T572" s="150"/>
      <c r="U572" s="150"/>
      <c r="V572" s="150"/>
      <c r="W572" s="150"/>
      <c r="X572" s="150"/>
    </row>
    <row r="573">
      <c r="A573" s="150"/>
      <c r="B573" s="182"/>
      <c r="C573" s="217"/>
      <c r="D573" s="150"/>
      <c r="E573" s="150"/>
      <c r="F573" s="150"/>
      <c r="G573" s="150"/>
      <c r="H573" s="150"/>
      <c r="I573" s="150"/>
      <c r="J573" s="150"/>
      <c r="K573" s="150"/>
      <c r="L573" s="150"/>
      <c r="M573" s="150"/>
      <c r="N573" s="150"/>
      <c r="O573" s="150"/>
      <c r="P573" s="150"/>
      <c r="Q573" s="150"/>
      <c r="R573" s="150"/>
      <c r="S573" s="150"/>
      <c r="T573" s="150"/>
      <c r="U573" s="150"/>
      <c r="V573" s="150"/>
      <c r="W573" s="150"/>
      <c r="X573" s="150"/>
    </row>
    <row r="574">
      <c r="A574" s="150"/>
      <c r="B574" s="182"/>
      <c r="C574" s="217"/>
      <c r="D574" s="150"/>
      <c r="E574" s="150"/>
      <c r="F574" s="150"/>
      <c r="G574" s="150"/>
      <c r="H574" s="150"/>
      <c r="I574" s="150"/>
      <c r="J574" s="150"/>
      <c r="K574" s="150"/>
      <c r="L574" s="150"/>
      <c r="M574" s="150"/>
      <c r="N574" s="150"/>
      <c r="O574" s="150"/>
      <c r="P574" s="150"/>
      <c r="Q574" s="150"/>
      <c r="R574" s="150"/>
      <c r="S574" s="150"/>
      <c r="T574" s="150"/>
      <c r="U574" s="150"/>
      <c r="V574" s="150"/>
      <c r="W574" s="150"/>
      <c r="X574" s="150"/>
    </row>
    <row r="575">
      <c r="A575" s="150"/>
      <c r="B575" s="182"/>
      <c r="C575" s="217"/>
      <c r="D575" s="150"/>
      <c r="E575" s="150"/>
      <c r="F575" s="150"/>
      <c r="G575" s="150"/>
      <c r="H575" s="150"/>
      <c r="I575" s="150"/>
      <c r="J575" s="150"/>
      <c r="K575" s="150"/>
      <c r="L575" s="150"/>
      <c r="M575" s="150"/>
      <c r="N575" s="150"/>
      <c r="O575" s="150"/>
      <c r="P575" s="150"/>
      <c r="Q575" s="150"/>
      <c r="R575" s="150"/>
      <c r="S575" s="150"/>
      <c r="T575" s="150"/>
      <c r="U575" s="150"/>
      <c r="V575" s="150"/>
      <c r="W575" s="150"/>
      <c r="X575" s="150"/>
    </row>
    <row r="576">
      <c r="A576" s="150"/>
      <c r="B576" s="182"/>
      <c r="C576" s="217"/>
      <c r="D576" s="150"/>
      <c r="E576" s="150"/>
      <c r="F576" s="150"/>
      <c r="G576" s="150"/>
      <c r="H576" s="150"/>
      <c r="I576" s="150"/>
      <c r="J576" s="150"/>
      <c r="K576" s="150"/>
      <c r="L576" s="150"/>
      <c r="M576" s="150"/>
      <c r="N576" s="150"/>
      <c r="O576" s="150"/>
      <c r="P576" s="150"/>
      <c r="Q576" s="150"/>
      <c r="R576" s="150"/>
      <c r="S576" s="150"/>
      <c r="T576" s="150"/>
      <c r="U576" s="150"/>
      <c r="V576" s="150"/>
      <c r="W576" s="150"/>
      <c r="X576" s="150"/>
    </row>
    <row r="577">
      <c r="A577" s="150"/>
      <c r="B577" s="182"/>
      <c r="C577" s="217"/>
      <c r="D577" s="150"/>
      <c r="E577" s="150"/>
      <c r="F577" s="150"/>
      <c r="G577" s="150"/>
      <c r="H577" s="150"/>
      <c r="I577" s="150"/>
      <c r="J577" s="150"/>
      <c r="K577" s="150"/>
      <c r="L577" s="150"/>
      <c r="M577" s="150"/>
      <c r="N577" s="150"/>
      <c r="O577" s="150"/>
      <c r="P577" s="150"/>
      <c r="Q577" s="150"/>
      <c r="R577" s="150"/>
      <c r="S577" s="150"/>
      <c r="T577" s="150"/>
      <c r="U577" s="150"/>
      <c r="V577" s="150"/>
      <c r="W577" s="150"/>
      <c r="X577" s="150"/>
    </row>
    <row r="578">
      <c r="A578" s="150"/>
      <c r="B578" s="182"/>
      <c r="C578" s="217"/>
      <c r="D578" s="150"/>
      <c r="E578" s="150"/>
      <c r="F578" s="150"/>
      <c r="G578" s="150"/>
      <c r="H578" s="150"/>
      <c r="I578" s="150"/>
      <c r="J578" s="150"/>
      <c r="K578" s="150"/>
      <c r="L578" s="150"/>
      <c r="M578" s="150"/>
      <c r="N578" s="150"/>
      <c r="O578" s="150"/>
      <c r="P578" s="150"/>
      <c r="Q578" s="150"/>
      <c r="R578" s="150"/>
      <c r="S578" s="150"/>
      <c r="T578" s="150"/>
      <c r="U578" s="150"/>
      <c r="V578" s="150"/>
      <c r="W578" s="150"/>
      <c r="X578" s="150"/>
    </row>
    <row r="579">
      <c r="A579" s="150"/>
      <c r="B579" s="182"/>
      <c r="C579" s="217"/>
      <c r="D579" s="150"/>
      <c r="E579" s="150"/>
      <c r="F579" s="150"/>
      <c r="G579" s="150"/>
      <c r="H579" s="150"/>
      <c r="I579" s="150"/>
      <c r="J579" s="150"/>
      <c r="K579" s="150"/>
      <c r="L579" s="150"/>
      <c r="M579" s="150"/>
      <c r="N579" s="150"/>
      <c r="O579" s="150"/>
      <c r="P579" s="150"/>
      <c r="Q579" s="150"/>
      <c r="R579" s="150"/>
      <c r="S579" s="150"/>
      <c r="T579" s="150"/>
      <c r="U579" s="150"/>
      <c r="V579" s="150"/>
      <c r="W579" s="150"/>
      <c r="X579" s="150"/>
    </row>
    <row r="580">
      <c r="A580" s="150"/>
      <c r="B580" s="182"/>
      <c r="C580" s="217"/>
      <c r="D580" s="150"/>
      <c r="E580" s="150"/>
      <c r="F580" s="150"/>
      <c r="G580" s="150"/>
      <c r="H580" s="150"/>
      <c r="I580" s="150"/>
      <c r="J580" s="150"/>
      <c r="K580" s="150"/>
      <c r="L580" s="150"/>
      <c r="M580" s="150"/>
      <c r="N580" s="150"/>
      <c r="O580" s="150"/>
      <c r="P580" s="150"/>
      <c r="Q580" s="150"/>
      <c r="R580" s="150"/>
      <c r="S580" s="150"/>
      <c r="T580" s="150"/>
      <c r="U580" s="150"/>
      <c r="V580" s="150"/>
      <c r="W580" s="150"/>
      <c r="X580" s="150"/>
    </row>
    <row r="581">
      <c r="A581" s="150"/>
      <c r="B581" s="182"/>
      <c r="C581" s="217"/>
      <c r="D581" s="150"/>
      <c r="E581" s="150"/>
      <c r="F581" s="150"/>
      <c r="G581" s="150"/>
      <c r="H581" s="150"/>
      <c r="I581" s="150"/>
      <c r="J581" s="150"/>
      <c r="K581" s="150"/>
      <c r="L581" s="150"/>
      <c r="M581" s="150"/>
      <c r="N581" s="150"/>
      <c r="O581" s="150"/>
      <c r="P581" s="150"/>
      <c r="Q581" s="150"/>
      <c r="R581" s="150"/>
      <c r="S581" s="150"/>
      <c r="T581" s="150"/>
      <c r="U581" s="150"/>
      <c r="V581" s="150"/>
      <c r="W581" s="150"/>
      <c r="X581" s="150"/>
    </row>
    <row r="582">
      <c r="A582" s="150"/>
      <c r="B582" s="182"/>
      <c r="C582" s="217"/>
      <c r="D582" s="150"/>
      <c r="E582" s="150"/>
      <c r="F582" s="150"/>
      <c r="G582" s="150"/>
      <c r="H582" s="150"/>
      <c r="I582" s="150"/>
      <c r="J582" s="150"/>
      <c r="K582" s="150"/>
      <c r="L582" s="150"/>
      <c r="M582" s="150"/>
      <c r="N582" s="150"/>
      <c r="O582" s="150"/>
      <c r="P582" s="150"/>
      <c r="Q582" s="150"/>
      <c r="R582" s="150"/>
      <c r="S582" s="150"/>
      <c r="T582" s="150"/>
      <c r="U582" s="150"/>
      <c r="V582" s="150"/>
      <c r="W582" s="150"/>
      <c r="X582" s="150"/>
    </row>
    <row r="583">
      <c r="A583" s="150"/>
      <c r="B583" s="182"/>
      <c r="C583" s="217"/>
      <c r="D583" s="150"/>
      <c r="E583" s="150"/>
      <c r="F583" s="150"/>
      <c r="G583" s="150"/>
      <c r="H583" s="150"/>
      <c r="I583" s="150"/>
      <c r="J583" s="150"/>
      <c r="K583" s="150"/>
      <c r="L583" s="150"/>
      <c r="M583" s="150"/>
      <c r="N583" s="150"/>
      <c r="O583" s="150"/>
      <c r="P583" s="150"/>
      <c r="Q583" s="150"/>
      <c r="R583" s="150"/>
      <c r="S583" s="150"/>
      <c r="T583" s="150"/>
      <c r="U583" s="150"/>
      <c r="V583" s="150"/>
      <c r="W583" s="150"/>
      <c r="X583" s="150"/>
    </row>
    <row r="584">
      <c r="A584" s="150"/>
      <c r="B584" s="182"/>
      <c r="C584" s="217"/>
      <c r="D584" s="150"/>
      <c r="E584" s="150"/>
      <c r="F584" s="150"/>
      <c r="G584" s="150"/>
      <c r="H584" s="150"/>
      <c r="I584" s="150"/>
      <c r="J584" s="150"/>
      <c r="K584" s="150"/>
      <c r="L584" s="150"/>
      <c r="M584" s="150"/>
      <c r="N584" s="150"/>
      <c r="O584" s="150"/>
      <c r="P584" s="150"/>
      <c r="Q584" s="150"/>
      <c r="R584" s="150"/>
      <c r="S584" s="150"/>
      <c r="T584" s="150"/>
      <c r="U584" s="150"/>
      <c r="V584" s="150"/>
      <c r="W584" s="150"/>
      <c r="X584" s="150"/>
    </row>
    <row r="585">
      <c r="A585" s="150"/>
      <c r="B585" s="182"/>
      <c r="C585" s="217"/>
      <c r="D585" s="150"/>
      <c r="E585" s="150"/>
      <c r="F585" s="150"/>
      <c r="G585" s="150"/>
      <c r="H585" s="150"/>
      <c r="I585" s="150"/>
      <c r="J585" s="150"/>
      <c r="K585" s="150"/>
      <c r="L585" s="150"/>
      <c r="M585" s="150"/>
      <c r="N585" s="150"/>
      <c r="O585" s="150"/>
      <c r="P585" s="150"/>
      <c r="Q585" s="150"/>
      <c r="R585" s="150"/>
      <c r="S585" s="150"/>
      <c r="T585" s="150"/>
      <c r="U585" s="150"/>
      <c r="V585" s="150"/>
      <c r="W585" s="150"/>
      <c r="X585" s="150"/>
    </row>
    <row r="586">
      <c r="A586" s="150"/>
      <c r="B586" s="182"/>
      <c r="C586" s="217"/>
      <c r="D586" s="150"/>
      <c r="E586" s="150"/>
      <c r="F586" s="150"/>
      <c r="G586" s="150"/>
      <c r="H586" s="150"/>
      <c r="I586" s="150"/>
      <c r="J586" s="150"/>
      <c r="K586" s="150"/>
      <c r="L586" s="150"/>
      <c r="M586" s="150"/>
      <c r="N586" s="150"/>
      <c r="O586" s="150"/>
      <c r="P586" s="150"/>
      <c r="Q586" s="150"/>
      <c r="R586" s="150"/>
      <c r="S586" s="150"/>
      <c r="T586" s="150"/>
      <c r="U586" s="150"/>
      <c r="V586" s="150"/>
      <c r="W586" s="150"/>
      <c r="X586" s="150"/>
    </row>
    <row r="587">
      <c r="A587" s="150"/>
      <c r="B587" s="182"/>
      <c r="C587" s="217"/>
      <c r="D587" s="150"/>
      <c r="E587" s="150"/>
      <c r="F587" s="150"/>
      <c r="G587" s="150"/>
      <c r="H587" s="150"/>
      <c r="I587" s="150"/>
      <c r="J587" s="150"/>
      <c r="K587" s="150"/>
      <c r="L587" s="150"/>
      <c r="M587" s="150"/>
      <c r="N587" s="150"/>
      <c r="O587" s="150"/>
      <c r="P587" s="150"/>
      <c r="Q587" s="150"/>
      <c r="R587" s="150"/>
      <c r="S587" s="150"/>
      <c r="T587" s="150"/>
      <c r="U587" s="150"/>
      <c r="V587" s="150"/>
      <c r="W587" s="150"/>
      <c r="X587" s="150"/>
    </row>
    <row r="588">
      <c r="A588" s="150"/>
      <c r="B588" s="182"/>
      <c r="C588" s="217"/>
      <c r="D588" s="150"/>
      <c r="E588" s="150"/>
      <c r="F588" s="150"/>
      <c r="G588" s="150"/>
      <c r="H588" s="150"/>
      <c r="I588" s="150"/>
      <c r="J588" s="150"/>
      <c r="K588" s="150"/>
      <c r="L588" s="150"/>
      <c r="M588" s="150"/>
      <c r="N588" s="150"/>
      <c r="O588" s="150"/>
      <c r="P588" s="150"/>
      <c r="Q588" s="150"/>
      <c r="R588" s="150"/>
      <c r="S588" s="150"/>
      <c r="T588" s="150"/>
      <c r="U588" s="150"/>
      <c r="V588" s="150"/>
      <c r="W588" s="150"/>
      <c r="X588" s="150"/>
    </row>
    <row r="589">
      <c r="A589" s="150"/>
      <c r="B589" s="182"/>
      <c r="C589" s="217"/>
      <c r="D589" s="150"/>
      <c r="E589" s="150"/>
      <c r="F589" s="150"/>
      <c r="G589" s="150"/>
      <c r="H589" s="150"/>
      <c r="I589" s="150"/>
      <c r="J589" s="150"/>
      <c r="K589" s="150"/>
      <c r="L589" s="150"/>
      <c r="M589" s="150"/>
      <c r="N589" s="150"/>
      <c r="O589" s="150"/>
      <c r="P589" s="150"/>
      <c r="Q589" s="150"/>
      <c r="R589" s="150"/>
      <c r="S589" s="150"/>
      <c r="T589" s="150"/>
      <c r="U589" s="150"/>
      <c r="V589" s="150"/>
      <c r="W589" s="150"/>
      <c r="X589" s="150"/>
    </row>
    <row r="590">
      <c r="A590" s="150"/>
      <c r="B590" s="182"/>
      <c r="C590" s="217"/>
      <c r="D590" s="150"/>
      <c r="E590" s="150"/>
      <c r="F590" s="150"/>
      <c r="G590" s="150"/>
      <c r="H590" s="150"/>
      <c r="I590" s="150"/>
      <c r="J590" s="150"/>
      <c r="K590" s="150"/>
      <c r="L590" s="150"/>
      <c r="M590" s="150"/>
      <c r="N590" s="150"/>
      <c r="O590" s="150"/>
      <c r="P590" s="150"/>
      <c r="Q590" s="150"/>
      <c r="R590" s="150"/>
      <c r="S590" s="150"/>
      <c r="T590" s="150"/>
      <c r="U590" s="150"/>
      <c r="V590" s="150"/>
      <c r="W590" s="150"/>
      <c r="X590" s="150"/>
    </row>
    <row r="591">
      <c r="A591" s="150"/>
      <c r="B591" s="182"/>
      <c r="C591" s="217"/>
      <c r="D591" s="150"/>
      <c r="E591" s="150"/>
      <c r="F591" s="150"/>
      <c r="G591" s="150"/>
      <c r="H591" s="150"/>
      <c r="I591" s="150"/>
      <c r="J591" s="150"/>
      <c r="K591" s="150"/>
      <c r="L591" s="150"/>
      <c r="M591" s="150"/>
      <c r="N591" s="150"/>
      <c r="O591" s="150"/>
      <c r="P591" s="150"/>
      <c r="Q591" s="150"/>
      <c r="R591" s="150"/>
      <c r="S591" s="150"/>
      <c r="T591" s="150"/>
      <c r="U591" s="150"/>
      <c r="V591" s="150"/>
      <c r="W591" s="150"/>
      <c r="X591" s="150"/>
    </row>
    <row r="592">
      <c r="A592" s="150"/>
      <c r="B592" s="182"/>
      <c r="C592" s="217"/>
      <c r="D592" s="150"/>
      <c r="E592" s="150"/>
      <c r="F592" s="150"/>
      <c r="G592" s="150"/>
      <c r="H592" s="150"/>
      <c r="I592" s="150"/>
      <c r="J592" s="150"/>
      <c r="K592" s="150"/>
      <c r="L592" s="150"/>
      <c r="M592" s="150"/>
      <c r="N592" s="150"/>
      <c r="O592" s="150"/>
      <c r="P592" s="150"/>
      <c r="Q592" s="150"/>
      <c r="R592" s="150"/>
      <c r="S592" s="150"/>
      <c r="T592" s="150"/>
      <c r="U592" s="150"/>
      <c r="V592" s="150"/>
      <c r="W592" s="150"/>
      <c r="X592" s="150"/>
    </row>
    <row r="593">
      <c r="A593" s="150"/>
      <c r="B593" s="182"/>
      <c r="C593" s="217"/>
      <c r="D593" s="150"/>
      <c r="E593" s="150"/>
      <c r="F593" s="150"/>
      <c r="G593" s="150"/>
      <c r="H593" s="150"/>
      <c r="I593" s="150"/>
      <c r="J593" s="150"/>
      <c r="K593" s="150"/>
      <c r="L593" s="150"/>
      <c r="M593" s="150"/>
      <c r="N593" s="150"/>
      <c r="O593" s="150"/>
      <c r="P593" s="150"/>
      <c r="Q593" s="150"/>
      <c r="R593" s="150"/>
      <c r="S593" s="150"/>
      <c r="T593" s="150"/>
      <c r="U593" s="150"/>
      <c r="V593" s="150"/>
      <c r="W593" s="150"/>
      <c r="X593" s="150"/>
    </row>
    <row r="594">
      <c r="A594" s="150"/>
      <c r="B594" s="182"/>
      <c r="C594" s="217"/>
      <c r="D594" s="150"/>
      <c r="E594" s="150"/>
      <c r="F594" s="150"/>
      <c r="G594" s="150"/>
      <c r="H594" s="150"/>
      <c r="I594" s="150"/>
      <c r="J594" s="150"/>
      <c r="K594" s="150"/>
      <c r="L594" s="150"/>
      <c r="M594" s="150"/>
      <c r="N594" s="150"/>
      <c r="O594" s="150"/>
      <c r="P594" s="150"/>
      <c r="Q594" s="150"/>
      <c r="R594" s="150"/>
      <c r="S594" s="150"/>
      <c r="T594" s="150"/>
      <c r="U594" s="150"/>
      <c r="V594" s="150"/>
      <c r="W594" s="150"/>
      <c r="X594" s="150"/>
    </row>
    <row r="595">
      <c r="A595" s="150"/>
      <c r="B595" s="182"/>
      <c r="C595" s="217"/>
      <c r="D595" s="150"/>
      <c r="E595" s="150"/>
      <c r="F595" s="150"/>
      <c r="G595" s="150"/>
      <c r="H595" s="150"/>
      <c r="I595" s="150"/>
      <c r="J595" s="150"/>
      <c r="K595" s="150"/>
      <c r="L595" s="150"/>
      <c r="M595" s="150"/>
      <c r="N595" s="150"/>
      <c r="O595" s="150"/>
      <c r="P595" s="150"/>
      <c r="Q595" s="150"/>
      <c r="R595" s="150"/>
      <c r="S595" s="150"/>
      <c r="T595" s="150"/>
      <c r="U595" s="150"/>
      <c r="V595" s="150"/>
      <c r="W595" s="150"/>
      <c r="X595" s="150"/>
    </row>
    <row r="596">
      <c r="A596" s="150"/>
      <c r="B596" s="182"/>
      <c r="C596" s="217"/>
      <c r="D596" s="150"/>
      <c r="E596" s="150"/>
      <c r="F596" s="150"/>
      <c r="G596" s="150"/>
      <c r="H596" s="150"/>
      <c r="I596" s="150"/>
      <c r="J596" s="150"/>
      <c r="K596" s="150"/>
      <c r="L596" s="150"/>
      <c r="M596" s="150"/>
      <c r="N596" s="150"/>
      <c r="O596" s="150"/>
      <c r="P596" s="150"/>
      <c r="Q596" s="150"/>
      <c r="R596" s="150"/>
      <c r="S596" s="150"/>
      <c r="T596" s="150"/>
      <c r="U596" s="150"/>
      <c r="V596" s="150"/>
      <c r="W596" s="150"/>
      <c r="X596" s="150"/>
    </row>
    <row r="597">
      <c r="A597" s="150"/>
      <c r="B597" s="182"/>
      <c r="C597" s="217"/>
      <c r="D597" s="150"/>
      <c r="E597" s="150"/>
      <c r="F597" s="150"/>
      <c r="G597" s="150"/>
      <c r="H597" s="150"/>
      <c r="I597" s="150"/>
      <c r="J597" s="150"/>
      <c r="K597" s="150"/>
      <c r="L597" s="150"/>
      <c r="M597" s="150"/>
      <c r="N597" s="150"/>
      <c r="O597" s="150"/>
      <c r="P597" s="150"/>
      <c r="Q597" s="150"/>
      <c r="R597" s="150"/>
      <c r="S597" s="150"/>
      <c r="T597" s="150"/>
      <c r="U597" s="150"/>
      <c r="V597" s="150"/>
      <c r="W597" s="150"/>
      <c r="X597" s="150"/>
    </row>
    <row r="598">
      <c r="A598" s="150"/>
      <c r="B598" s="182"/>
      <c r="C598" s="217"/>
      <c r="D598" s="150"/>
      <c r="E598" s="150"/>
      <c r="F598" s="150"/>
      <c r="G598" s="150"/>
      <c r="H598" s="150"/>
      <c r="I598" s="150"/>
      <c r="J598" s="150"/>
      <c r="K598" s="150"/>
      <c r="L598" s="150"/>
      <c r="M598" s="150"/>
      <c r="N598" s="150"/>
      <c r="O598" s="150"/>
      <c r="P598" s="150"/>
      <c r="Q598" s="150"/>
      <c r="R598" s="150"/>
      <c r="S598" s="150"/>
      <c r="T598" s="150"/>
      <c r="U598" s="150"/>
      <c r="V598" s="150"/>
      <c r="W598" s="150"/>
      <c r="X598" s="150"/>
    </row>
    <row r="599">
      <c r="A599" s="150"/>
      <c r="B599" s="182"/>
      <c r="C599" s="217"/>
      <c r="D599" s="150"/>
      <c r="E599" s="150"/>
      <c r="F599" s="150"/>
      <c r="G599" s="150"/>
      <c r="H599" s="150"/>
      <c r="I599" s="150"/>
      <c r="J599" s="150"/>
      <c r="K599" s="150"/>
      <c r="L599" s="150"/>
      <c r="M599" s="150"/>
      <c r="N599" s="150"/>
      <c r="O599" s="150"/>
      <c r="P599" s="150"/>
      <c r="Q599" s="150"/>
      <c r="R599" s="150"/>
      <c r="S599" s="150"/>
      <c r="T599" s="150"/>
      <c r="U599" s="150"/>
      <c r="V599" s="150"/>
      <c r="W599" s="150"/>
      <c r="X599" s="150"/>
    </row>
    <row r="600">
      <c r="A600" s="150"/>
      <c r="B600" s="182"/>
      <c r="C600" s="217"/>
      <c r="D600" s="150"/>
      <c r="E600" s="150"/>
      <c r="F600" s="150"/>
      <c r="G600" s="150"/>
      <c r="H600" s="150"/>
      <c r="I600" s="150"/>
      <c r="J600" s="150"/>
      <c r="K600" s="150"/>
      <c r="L600" s="150"/>
      <c r="M600" s="150"/>
      <c r="N600" s="150"/>
      <c r="O600" s="150"/>
      <c r="P600" s="150"/>
      <c r="Q600" s="150"/>
      <c r="R600" s="150"/>
      <c r="S600" s="150"/>
      <c r="T600" s="150"/>
      <c r="U600" s="150"/>
      <c r="V600" s="150"/>
      <c r="W600" s="150"/>
      <c r="X600" s="150"/>
    </row>
    <row r="601">
      <c r="A601" s="150"/>
      <c r="B601" s="182"/>
      <c r="C601" s="217"/>
      <c r="D601" s="150"/>
      <c r="E601" s="150"/>
      <c r="F601" s="150"/>
      <c r="G601" s="150"/>
      <c r="H601" s="150"/>
      <c r="I601" s="150"/>
      <c r="J601" s="150"/>
      <c r="K601" s="150"/>
      <c r="L601" s="150"/>
      <c r="M601" s="150"/>
      <c r="N601" s="150"/>
      <c r="O601" s="150"/>
      <c r="P601" s="150"/>
      <c r="Q601" s="150"/>
      <c r="R601" s="150"/>
      <c r="S601" s="150"/>
      <c r="T601" s="150"/>
      <c r="U601" s="150"/>
      <c r="V601" s="150"/>
      <c r="W601" s="150"/>
      <c r="X601" s="150"/>
    </row>
    <row r="602">
      <c r="A602" s="150"/>
      <c r="B602" s="182"/>
      <c r="C602" s="217"/>
      <c r="D602" s="150"/>
      <c r="E602" s="150"/>
      <c r="F602" s="150"/>
      <c r="G602" s="150"/>
      <c r="H602" s="150"/>
      <c r="I602" s="150"/>
      <c r="J602" s="150"/>
      <c r="K602" s="150"/>
      <c r="L602" s="150"/>
      <c r="M602" s="150"/>
      <c r="N602" s="150"/>
      <c r="O602" s="150"/>
      <c r="P602" s="150"/>
      <c r="Q602" s="150"/>
      <c r="R602" s="150"/>
      <c r="S602" s="150"/>
      <c r="T602" s="150"/>
      <c r="U602" s="150"/>
      <c r="V602" s="150"/>
      <c r="W602" s="150"/>
      <c r="X602" s="150"/>
    </row>
    <row r="603">
      <c r="A603" s="150"/>
      <c r="B603" s="182"/>
      <c r="C603" s="217"/>
      <c r="D603" s="150"/>
      <c r="E603" s="150"/>
      <c r="F603" s="150"/>
      <c r="G603" s="150"/>
      <c r="H603" s="150"/>
      <c r="I603" s="150"/>
      <c r="J603" s="150"/>
      <c r="K603" s="150"/>
      <c r="L603" s="150"/>
      <c r="M603" s="150"/>
      <c r="N603" s="150"/>
      <c r="O603" s="150"/>
      <c r="P603" s="150"/>
      <c r="Q603" s="150"/>
      <c r="R603" s="150"/>
      <c r="S603" s="150"/>
      <c r="T603" s="150"/>
      <c r="U603" s="150"/>
      <c r="V603" s="150"/>
      <c r="W603" s="150"/>
      <c r="X603" s="150"/>
    </row>
    <row r="604">
      <c r="A604" s="150"/>
      <c r="B604" s="182"/>
      <c r="C604" s="217"/>
      <c r="D604" s="150"/>
      <c r="E604" s="150"/>
      <c r="F604" s="150"/>
      <c r="G604" s="150"/>
      <c r="H604" s="150"/>
      <c r="I604" s="150"/>
      <c r="J604" s="150"/>
      <c r="K604" s="150"/>
      <c r="L604" s="150"/>
      <c r="M604" s="150"/>
      <c r="N604" s="150"/>
      <c r="O604" s="150"/>
      <c r="P604" s="150"/>
      <c r="Q604" s="150"/>
      <c r="R604" s="150"/>
      <c r="S604" s="150"/>
      <c r="T604" s="150"/>
      <c r="U604" s="150"/>
      <c r="V604" s="150"/>
      <c r="W604" s="150"/>
      <c r="X604" s="150"/>
    </row>
    <row r="605">
      <c r="A605" s="150"/>
      <c r="B605" s="182"/>
      <c r="C605" s="217"/>
      <c r="D605" s="150"/>
      <c r="E605" s="150"/>
      <c r="F605" s="150"/>
      <c r="G605" s="150"/>
      <c r="H605" s="150"/>
      <c r="I605" s="150"/>
      <c r="J605" s="150"/>
      <c r="K605" s="150"/>
      <c r="L605" s="150"/>
      <c r="M605" s="150"/>
      <c r="N605" s="150"/>
      <c r="O605" s="150"/>
      <c r="P605" s="150"/>
      <c r="Q605" s="150"/>
      <c r="R605" s="150"/>
      <c r="S605" s="150"/>
      <c r="T605" s="150"/>
      <c r="U605" s="150"/>
      <c r="V605" s="150"/>
      <c r="W605" s="150"/>
      <c r="X605" s="150"/>
    </row>
    <row r="606">
      <c r="A606" s="150"/>
      <c r="B606" s="182"/>
      <c r="C606" s="217"/>
      <c r="D606" s="150"/>
      <c r="E606" s="150"/>
      <c r="F606" s="150"/>
      <c r="G606" s="150"/>
      <c r="H606" s="150"/>
      <c r="I606" s="150"/>
      <c r="J606" s="150"/>
      <c r="K606" s="150"/>
      <c r="L606" s="150"/>
      <c r="M606" s="150"/>
      <c r="N606" s="150"/>
      <c r="O606" s="150"/>
      <c r="P606" s="150"/>
      <c r="Q606" s="150"/>
      <c r="R606" s="150"/>
      <c r="S606" s="150"/>
      <c r="T606" s="150"/>
      <c r="U606" s="150"/>
      <c r="V606" s="150"/>
      <c r="W606" s="150"/>
      <c r="X606" s="150"/>
    </row>
    <row r="607">
      <c r="A607" s="150"/>
      <c r="B607" s="182"/>
      <c r="C607" s="217"/>
      <c r="D607" s="150"/>
      <c r="E607" s="150"/>
      <c r="F607" s="150"/>
      <c r="G607" s="150"/>
      <c r="H607" s="150"/>
      <c r="I607" s="150"/>
      <c r="J607" s="150"/>
      <c r="K607" s="150"/>
      <c r="L607" s="150"/>
      <c r="M607" s="150"/>
      <c r="N607" s="150"/>
      <c r="O607" s="150"/>
      <c r="P607" s="150"/>
      <c r="Q607" s="150"/>
      <c r="R607" s="150"/>
      <c r="S607" s="150"/>
      <c r="T607" s="150"/>
      <c r="U607" s="150"/>
      <c r="V607" s="150"/>
      <c r="W607" s="150"/>
      <c r="X607" s="150"/>
    </row>
    <row r="608">
      <c r="A608" s="150"/>
      <c r="B608" s="182"/>
      <c r="C608" s="217"/>
      <c r="D608" s="150"/>
      <c r="E608" s="150"/>
      <c r="F608" s="150"/>
      <c r="G608" s="150"/>
      <c r="H608" s="150"/>
      <c r="I608" s="150"/>
      <c r="J608" s="150"/>
      <c r="K608" s="150"/>
      <c r="L608" s="150"/>
      <c r="M608" s="150"/>
      <c r="N608" s="150"/>
      <c r="O608" s="150"/>
      <c r="P608" s="150"/>
      <c r="Q608" s="150"/>
      <c r="R608" s="150"/>
      <c r="S608" s="150"/>
      <c r="T608" s="150"/>
      <c r="U608" s="150"/>
      <c r="V608" s="150"/>
      <c r="W608" s="150"/>
      <c r="X608" s="150"/>
    </row>
    <row r="609">
      <c r="A609" s="150"/>
      <c r="B609" s="182"/>
      <c r="C609" s="217"/>
      <c r="D609" s="150"/>
      <c r="E609" s="150"/>
      <c r="F609" s="150"/>
      <c r="G609" s="150"/>
      <c r="H609" s="150"/>
      <c r="I609" s="150"/>
      <c r="J609" s="150"/>
      <c r="K609" s="150"/>
      <c r="L609" s="150"/>
      <c r="M609" s="150"/>
      <c r="N609" s="150"/>
      <c r="O609" s="150"/>
      <c r="P609" s="150"/>
      <c r="Q609" s="150"/>
      <c r="R609" s="150"/>
      <c r="S609" s="150"/>
      <c r="T609" s="150"/>
      <c r="U609" s="150"/>
      <c r="V609" s="150"/>
      <c r="W609" s="150"/>
      <c r="X609" s="150"/>
    </row>
    <row r="610">
      <c r="A610" s="150"/>
      <c r="B610" s="182"/>
      <c r="C610" s="217"/>
      <c r="D610" s="150"/>
      <c r="E610" s="150"/>
      <c r="F610" s="150"/>
      <c r="G610" s="150"/>
      <c r="H610" s="150"/>
      <c r="I610" s="150"/>
      <c r="J610" s="150"/>
      <c r="K610" s="150"/>
      <c r="L610" s="150"/>
      <c r="M610" s="150"/>
      <c r="N610" s="150"/>
      <c r="O610" s="150"/>
      <c r="P610" s="150"/>
      <c r="Q610" s="150"/>
      <c r="R610" s="150"/>
      <c r="S610" s="150"/>
      <c r="T610" s="150"/>
      <c r="U610" s="150"/>
      <c r="V610" s="150"/>
      <c r="W610" s="150"/>
      <c r="X610" s="150"/>
    </row>
    <row r="611">
      <c r="A611" s="150"/>
      <c r="B611" s="182"/>
      <c r="C611" s="217"/>
      <c r="D611" s="150"/>
      <c r="E611" s="150"/>
      <c r="F611" s="150"/>
      <c r="G611" s="150"/>
      <c r="H611" s="150"/>
      <c r="I611" s="150"/>
      <c r="J611" s="150"/>
      <c r="K611" s="150"/>
      <c r="L611" s="150"/>
      <c r="M611" s="150"/>
      <c r="N611" s="150"/>
      <c r="O611" s="150"/>
      <c r="P611" s="150"/>
      <c r="Q611" s="150"/>
      <c r="R611" s="150"/>
      <c r="S611" s="150"/>
      <c r="T611" s="150"/>
      <c r="U611" s="150"/>
      <c r="V611" s="150"/>
      <c r="W611" s="150"/>
      <c r="X611" s="150"/>
    </row>
    <row r="612">
      <c r="A612" s="150"/>
      <c r="B612" s="182"/>
      <c r="C612" s="217"/>
      <c r="D612" s="150"/>
      <c r="E612" s="150"/>
      <c r="F612" s="150"/>
      <c r="G612" s="150"/>
      <c r="H612" s="150"/>
      <c r="I612" s="150"/>
      <c r="J612" s="150"/>
      <c r="K612" s="150"/>
      <c r="L612" s="150"/>
      <c r="M612" s="150"/>
      <c r="N612" s="150"/>
      <c r="O612" s="150"/>
      <c r="P612" s="150"/>
      <c r="Q612" s="150"/>
      <c r="R612" s="150"/>
      <c r="S612" s="150"/>
      <c r="T612" s="150"/>
      <c r="U612" s="150"/>
      <c r="V612" s="150"/>
      <c r="W612" s="150"/>
      <c r="X612" s="150"/>
    </row>
    <row r="613">
      <c r="A613" s="150"/>
      <c r="B613" s="182"/>
      <c r="C613" s="217"/>
      <c r="D613" s="150"/>
      <c r="E613" s="150"/>
      <c r="F613" s="150"/>
      <c r="G613" s="150"/>
      <c r="H613" s="150"/>
      <c r="I613" s="150"/>
      <c r="J613" s="150"/>
      <c r="K613" s="150"/>
      <c r="L613" s="150"/>
      <c r="M613" s="150"/>
      <c r="N613" s="150"/>
      <c r="O613" s="150"/>
      <c r="P613" s="150"/>
      <c r="Q613" s="150"/>
      <c r="R613" s="150"/>
      <c r="S613" s="150"/>
      <c r="T613" s="150"/>
      <c r="U613" s="150"/>
      <c r="V613" s="150"/>
      <c r="W613" s="150"/>
      <c r="X613" s="150"/>
    </row>
    <row r="614">
      <c r="A614" s="150"/>
      <c r="B614" s="182"/>
      <c r="C614" s="217"/>
      <c r="D614" s="150"/>
      <c r="E614" s="150"/>
      <c r="F614" s="150"/>
      <c r="G614" s="150"/>
      <c r="H614" s="150"/>
      <c r="I614" s="150"/>
      <c r="J614" s="150"/>
      <c r="K614" s="150"/>
      <c r="L614" s="150"/>
      <c r="M614" s="150"/>
      <c r="N614" s="150"/>
      <c r="O614" s="150"/>
      <c r="P614" s="150"/>
      <c r="Q614" s="150"/>
      <c r="R614" s="150"/>
      <c r="S614" s="150"/>
      <c r="T614" s="150"/>
      <c r="U614" s="150"/>
      <c r="V614" s="150"/>
      <c r="W614" s="150"/>
      <c r="X614" s="150"/>
    </row>
    <row r="615">
      <c r="A615" s="150"/>
      <c r="B615" s="182"/>
      <c r="C615" s="217"/>
      <c r="D615" s="150"/>
      <c r="E615" s="150"/>
      <c r="F615" s="150"/>
      <c r="G615" s="150"/>
      <c r="H615" s="150"/>
      <c r="I615" s="150"/>
      <c r="J615" s="150"/>
      <c r="K615" s="150"/>
      <c r="L615" s="150"/>
      <c r="M615" s="150"/>
      <c r="N615" s="150"/>
      <c r="O615" s="150"/>
      <c r="P615" s="150"/>
      <c r="Q615" s="150"/>
      <c r="R615" s="150"/>
      <c r="S615" s="150"/>
      <c r="T615" s="150"/>
      <c r="U615" s="150"/>
      <c r="V615" s="150"/>
      <c r="W615" s="150"/>
      <c r="X615" s="150"/>
    </row>
    <row r="616">
      <c r="A616" s="150"/>
      <c r="B616" s="182"/>
      <c r="C616" s="217"/>
      <c r="D616" s="150"/>
      <c r="E616" s="150"/>
      <c r="F616" s="150"/>
      <c r="G616" s="150"/>
      <c r="H616" s="150"/>
      <c r="I616" s="150"/>
      <c r="J616" s="150"/>
      <c r="K616" s="150"/>
      <c r="L616" s="150"/>
      <c r="M616" s="150"/>
      <c r="N616" s="150"/>
      <c r="O616" s="150"/>
      <c r="P616" s="150"/>
      <c r="Q616" s="150"/>
      <c r="R616" s="150"/>
      <c r="S616" s="150"/>
      <c r="T616" s="150"/>
      <c r="U616" s="150"/>
      <c r="V616" s="150"/>
      <c r="W616" s="150"/>
      <c r="X616" s="150"/>
    </row>
    <row r="617">
      <c r="A617" s="150"/>
      <c r="B617" s="182"/>
      <c r="C617" s="217"/>
      <c r="D617" s="150"/>
      <c r="E617" s="150"/>
      <c r="F617" s="150"/>
      <c r="G617" s="150"/>
      <c r="H617" s="150"/>
      <c r="I617" s="150"/>
      <c r="J617" s="150"/>
      <c r="K617" s="150"/>
      <c r="L617" s="150"/>
      <c r="M617" s="150"/>
      <c r="N617" s="150"/>
      <c r="O617" s="150"/>
      <c r="P617" s="150"/>
      <c r="Q617" s="150"/>
      <c r="R617" s="150"/>
      <c r="S617" s="150"/>
      <c r="T617" s="150"/>
      <c r="U617" s="150"/>
      <c r="V617" s="150"/>
      <c r="W617" s="150"/>
      <c r="X617" s="150"/>
    </row>
    <row r="618">
      <c r="A618" s="150"/>
      <c r="B618" s="182"/>
      <c r="C618" s="217"/>
      <c r="D618" s="150"/>
      <c r="E618" s="150"/>
      <c r="F618" s="150"/>
      <c r="G618" s="150"/>
      <c r="H618" s="150"/>
      <c r="I618" s="150"/>
      <c r="J618" s="150"/>
      <c r="K618" s="150"/>
      <c r="L618" s="150"/>
      <c r="M618" s="150"/>
      <c r="N618" s="150"/>
      <c r="O618" s="150"/>
      <c r="P618" s="150"/>
      <c r="Q618" s="150"/>
      <c r="R618" s="150"/>
      <c r="S618" s="150"/>
      <c r="T618" s="150"/>
      <c r="U618" s="150"/>
      <c r="V618" s="150"/>
      <c r="W618" s="150"/>
      <c r="X618" s="150"/>
    </row>
    <row r="619">
      <c r="A619" s="150"/>
      <c r="B619" s="182"/>
      <c r="C619" s="217"/>
      <c r="D619" s="150"/>
      <c r="E619" s="150"/>
      <c r="F619" s="150"/>
      <c r="G619" s="150"/>
      <c r="H619" s="150"/>
      <c r="I619" s="150"/>
      <c r="J619" s="150"/>
      <c r="K619" s="150"/>
      <c r="L619" s="150"/>
      <c r="M619" s="150"/>
      <c r="N619" s="150"/>
      <c r="O619" s="150"/>
      <c r="P619" s="150"/>
      <c r="Q619" s="150"/>
      <c r="R619" s="150"/>
      <c r="S619" s="150"/>
      <c r="T619" s="150"/>
      <c r="U619" s="150"/>
      <c r="V619" s="150"/>
      <c r="W619" s="150"/>
      <c r="X619" s="150"/>
    </row>
    <row r="620">
      <c r="A620" s="150"/>
      <c r="B620" s="182"/>
      <c r="C620" s="217"/>
      <c r="D620" s="150"/>
      <c r="E620" s="150"/>
      <c r="F620" s="150"/>
      <c r="G620" s="150"/>
      <c r="H620" s="150"/>
      <c r="I620" s="150"/>
      <c r="J620" s="150"/>
      <c r="K620" s="150"/>
      <c r="L620" s="150"/>
      <c r="M620" s="150"/>
      <c r="N620" s="150"/>
      <c r="O620" s="150"/>
      <c r="P620" s="150"/>
      <c r="Q620" s="150"/>
      <c r="R620" s="150"/>
      <c r="S620" s="150"/>
      <c r="T620" s="150"/>
      <c r="U620" s="150"/>
      <c r="V620" s="150"/>
      <c r="W620" s="150"/>
      <c r="X620" s="150"/>
    </row>
    <row r="621">
      <c r="A621" s="150"/>
      <c r="B621" s="182"/>
      <c r="C621" s="217"/>
      <c r="D621" s="150"/>
      <c r="E621" s="150"/>
      <c r="F621" s="150"/>
      <c r="G621" s="150"/>
      <c r="H621" s="150"/>
      <c r="I621" s="150"/>
      <c r="J621" s="150"/>
      <c r="K621" s="150"/>
      <c r="L621" s="150"/>
      <c r="M621" s="150"/>
      <c r="N621" s="150"/>
      <c r="O621" s="150"/>
      <c r="P621" s="150"/>
      <c r="Q621" s="150"/>
      <c r="R621" s="150"/>
      <c r="S621" s="150"/>
      <c r="T621" s="150"/>
      <c r="U621" s="150"/>
      <c r="V621" s="150"/>
      <c r="W621" s="150"/>
      <c r="X621" s="150"/>
    </row>
    <row r="622">
      <c r="A622" s="150"/>
      <c r="B622" s="182"/>
      <c r="C622" s="217"/>
      <c r="D622" s="150"/>
      <c r="E622" s="150"/>
      <c r="F622" s="150"/>
      <c r="G622" s="150"/>
      <c r="H622" s="150"/>
      <c r="I622" s="150"/>
      <c r="J622" s="150"/>
      <c r="K622" s="150"/>
      <c r="L622" s="150"/>
      <c r="M622" s="150"/>
      <c r="N622" s="150"/>
      <c r="O622" s="150"/>
      <c r="P622" s="150"/>
      <c r="Q622" s="150"/>
      <c r="R622" s="150"/>
      <c r="S622" s="150"/>
      <c r="T622" s="150"/>
      <c r="U622" s="150"/>
      <c r="V622" s="150"/>
      <c r="W622" s="150"/>
      <c r="X622" s="150"/>
    </row>
    <row r="623">
      <c r="A623" s="150"/>
      <c r="B623" s="182"/>
      <c r="C623" s="217"/>
      <c r="D623" s="150"/>
      <c r="E623" s="150"/>
      <c r="F623" s="150"/>
      <c r="G623" s="150"/>
      <c r="H623" s="150"/>
      <c r="I623" s="150"/>
      <c r="J623" s="150"/>
      <c r="K623" s="150"/>
      <c r="L623" s="150"/>
      <c r="M623" s="150"/>
      <c r="N623" s="150"/>
      <c r="O623" s="150"/>
      <c r="P623" s="150"/>
      <c r="Q623" s="150"/>
      <c r="R623" s="150"/>
      <c r="S623" s="150"/>
      <c r="T623" s="150"/>
      <c r="U623" s="150"/>
      <c r="V623" s="150"/>
      <c r="W623" s="150"/>
      <c r="X623" s="150"/>
    </row>
    <row r="624">
      <c r="A624" s="150"/>
      <c r="B624" s="182"/>
      <c r="C624" s="217"/>
      <c r="D624" s="150"/>
      <c r="E624" s="150"/>
      <c r="F624" s="150"/>
      <c r="G624" s="150"/>
      <c r="H624" s="150"/>
      <c r="I624" s="150"/>
      <c r="J624" s="150"/>
      <c r="K624" s="150"/>
      <c r="L624" s="150"/>
      <c r="M624" s="150"/>
      <c r="N624" s="150"/>
      <c r="O624" s="150"/>
      <c r="P624" s="150"/>
      <c r="Q624" s="150"/>
      <c r="R624" s="150"/>
      <c r="S624" s="150"/>
      <c r="T624" s="150"/>
      <c r="U624" s="150"/>
      <c r="V624" s="150"/>
      <c r="W624" s="150"/>
      <c r="X624" s="150"/>
    </row>
    <row r="625">
      <c r="A625" s="150"/>
      <c r="B625" s="182"/>
      <c r="C625" s="217"/>
      <c r="D625" s="150"/>
      <c r="E625" s="150"/>
      <c r="F625" s="150"/>
      <c r="G625" s="150"/>
      <c r="H625" s="150"/>
      <c r="I625" s="150"/>
      <c r="J625" s="150"/>
      <c r="K625" s="150"/>
      <c r="L625" s="150"/>
      <c r="M625" s="150"/>
      <c r="N625" s="150"/>
      <c r="O625" s="150"/>
      <c r="P625" s="150"/>
      <c r="Q625" s="150"/>
      <c r="R625" s="150"/>
      <c r="S625" s="150"/>
      <c r="T625" s="150"/>
      <c r="U625" s="150"/>
      <c r="V625" s="150"/>
      <c r="W625" s="150"/>
      <c r="X625" s="150"/>
    </row>
    <row r="626">
      <c r="A626" s="150"/>
      <c r="B626" s="182"/>
      <c r="C626" s="217"/>
      <c r="D626" s="150"/>
      <c r="E626" s="150"/>
      <c r="F626" s="150"/>
      <c r="G626" s="150"/>
      <c r="H626" s="150"/>
      <c r="I626" s="150"/>
      <c r="J626" s="150"/>
      <c r="K626" s="150"/>
      <c r="L626" s="150"/>
      <c r="M626" s="150"/>
      <c r="N626" s="150"/>
      <c r="O626" s="150"/>
      <c r="P626" s="150"/>
      <c r="Q626" s="150"/>
      <c r="R626" s="150"/>
      <c r="S626" s="150"/>
      <c r="T626" s="150"/>
      <c r="U626" s="150"/>
      <c r="V626" s="150"/>
      <c r="W626" s="150"/>
      <c r="X626" s="150"/>
    </row>
    <row r="627">
      <c r="A627" s="150"/>
      <c r="B627" s="182"/>
      <c r="C627" s="217"/>
      <c r="D627" s="150"/>
      <c r="E627" s="150"/>
      <c r="F627" s="150"/>
      <c r="G627" s="150"/>
      <c r="H627" s="150"/>
      <c r="I627" s="150"/>
      <c r="J627" s="150"/>
      <c r="K627" s="150"/>
      <c r="L627" s="150"/>
      <c r="M627" s="150"/>
      <c r="N627" s="150"/>
      <c r="O627" s="150"/>
      <c r="P627" s="150"/>
      <c r="Q627" s="150"/>
      <c r="R627" s="150"/>
      <c r="S627" s="150"/>
      <c r="T627" s="150"/>
      <c r="U627" s="150"/>
      <c r="V627" s="150"/>
      <c r="W627" s="150"/>
      <c r="X627" s="150"/>
    </row>
    <row r="628">
      <c r="A628" s="150"/>
      <c r="B628" s="182"/>
      <c r="C628" s="217"/>
      <c r="D628" s="150"/>
      <c r="E628" s="150"/>
      <c r="F628" s="150"/>
      <c r="G628" s="150"/>
      <c r="H628" s="150"/>
      <c r="I628" s="150"/>
      <c r="J628" s="150"/>
      <c r="K628" s="150"/>
      <c r="L628" s="150"/>
      <c r="M628" s="150"/>
      <c r="N628" s="150"/>
      <c r="O628" s="150"/>
      <c r="P628" s="150"/>
      <c r="Q628" s="150"/>
      <c r="R628" s="150"/>
      <c r="S628" s="150"/>
      <c r="T628" s="150"/>
      <c r="U628" s="150"/>
      <c r="V628" s="150"/>
      <c r="W628" s="150"/>
      <c r="X628" s="150"/>
    </row>
    <row r="629">
      <c r="A629" s="150"/>
      <c r="B629" s="182"/>
      <c r="C629" s="217"/>
      <c r="D629" s="150"/>
      <c r="E629" s="150"/>
      <c r="F629" s="150"/>
      <c r="G629" s="150"/>
      <c r="H629" s="150"/>
      <c r="I629" s="150"/>
      <c r="J629" s="150"/>
      <c r="K629" s="150"/>
      <c r="L629" s="150"/>
      <c r="M629" s="150"/>
      <c r="N629" s="150"/>
      <c r="O629" s="150"/>
      <c r="P629" s="150"/>
      <c r="Q629" s="150"/>
      <c r="R629" s="150"/>
      <c r="S629" s="150"/>
      <c r="T629" s="150"/>
      <c r="U629" s="150"/>
      <c r="V629" s="150"/>
      <c r="W629" s="150"/>
      <c r="X629" s="150"/>
    </row>
    <row r="630">
      <c r="A630" s="150"/>
      <c r="B630" s="182"/>
      <c r="C630" s="217"/>
      <c r="D630" s="150"/>
      <c r="E630" s="150"/>
      <c r="F630" s="150"/>
      <c r="G630" s="150"/>
      <c r="H630" s="150"/>
      <c r="I630" s="150"/>
      <c r="J630" s="150"/>
      <c r="K630" s="150"/>
      <c r="L630" s="150"/>
      <c r="M630" s="150"/>
      <c r="N630" s="150"/>
      <c r="O630" s="150"/>
      <c r="P630" s="150"/>
      <c r="Q630" s="150"/>
      <c r="R630" s="150"/>
      <c r="S630" s="150"/>
      <c r="T630" s="150"/>
      <c r="U630" s="150"/>
      <c r="V630" s="150"/>
      <c r="W630" s="150"/>
      <c r="X630" s="150"/>
    </row>
    <row r="631">
      <c r="A631" s="150"/>
      <c r="B631" s="182"/>
      <c r="C631" s="217"/>
      <c r="D631" s="150"/>
      <c r="E631" s="150"/>
      <c r="F631" s="150"/>
      <c r="G631" s="150"/>
      <c r="H631" s="150"/>
      <c r="I631" s="150"/>
      <c r="J631" s="150"/>
      <c r="K631" s="150"/>
      <c r="L631" s="150"/>
      <c r="M631" s="150"/>
      <c r="N631" s="150"/>
      <c r="O631" s="150"/>
      <c r="P631" s="150"/>
      <c r="Q631" s="150"/>
      <c r="R631" s="150"/>
      <c r="S631" s="150"/>
      <c r="T631" s="150"/>
      <c r="U631" s="150"/>
      <c r="V631" s="150"/>
      <c r="W631" s="150"/>
      <c r="X631" s="150"/>
    </row>
    <row r="632">
      <c r="A632" s="150"/>
      <c r="B632" s="182"/>
      <c r="C632" s="217"/>
      <c r="D632" s="150"/>
      <c r="E632" s="150"/>
      <c r="F632" s="150"/>
      <c r="G632" s="150"/>
      <c r="H632" s="150"/>
      <c r="I632" s="150"/>
      <c r="J632" s="150"/>
      <c r="K632" s="150"/>
      <c r="L632" s="150"/>
      <c r="M632" s="150"/>
      <c r="N632" s="150"/>
      <c r="O632" s="150"/>
      <c r="P632" s="150"/>
      <c r="Q632" s="150"/>
      <c r="R632" s="150"/>
      <c r="S632" s="150"/>
      <c r="T632" s="150"/>
      <c r="U632" s="150"/>
      <c r="V632" s="150"/>
      <c r="W632" s="150"/>
      <c r="X632" s="150"/>
    </row>
    <row r="633">
      <c r="A633" s="150"/>
      <c r="B633" s="182"/>
      <c r="C633" s="217"/>
      <c r="D633" s="150"/>
      <c r="E633" s="150"/>
      <c r="F633" s="150"/>
      <c r="G633" s="150"/>
      <c r="H633" s="150"/>
      <c r="I633" s="150"/>
      <c r="J633" s="150"/>
      <c r="K633" s="150"/>
      <c r="L633" s="150"/>
      <c r="M633" s="150"/>
      <c r="N633" s="150"/>
      <c r="O633" s="150"/>
      <c r="P633" s="150"/>
      <c r="Q633" s="150"/>
      <c r="R633" s="150"/>
      <c r="S633" s="150"/>
      <c r="T633" s="150"/>
      <c r="U633" s="150"/>
      <c r="V633" s="150"/>
      <c r="W633" s="150"/>
      <c r="X633" s="150"/>
    </row>
    <row r="634">
      <c r="A634" s="150"/>
      <c r="B634" s="182"/>
      <c r="C634" s="217"/>
      <c r="D634" s="150"/>
      <c r="E634" s="150"/>
      <c r="F634" s="150"/>
      <c r="G634" s="150"/>
      <c r="H634" s="150"/>
      <c r="I634" s="150"/>
      <c r="J634" s="150"/>
      <c r="K634" s="150"/>
      <c r="L634" s="150"/>
      <c r="M634" s="150"/>
      <c r="N634" s="150"/>
      <c r="O634" s="150"/>
      <c r="P634" s="150"/>
      <c r="Q634" s="150"/>
      <c r="R634" s="150"/>
      <c r="S634" s="150"/>
      <c r="T634" s="150"/>
      <c r="U634" s="150"/>
      <c r="V634" s="150"/>
      <c r="W634" s="150"/>
      <c r="X634" s="150"/>
    </row>
    <row r="635">
      <c r="A635" s="150"/>
      <c r="B635" s="182"/>
      <c r="C635" s="217"/>
      <c r="D635" s="150"/>
      <c r="E635" s="150"/>
      <c r="F635" s="150"/>
      <c r="G635" s="150"/>
      <c r="H635" s="150"/>
      <c r="I635" s="150"/>
      <c r="J635" s="150"/>
      <c r="K635" s="150"/>
      <c r="L635" s="150"/>
      <c r="M635" s="150"/>
      <c r="N635" s="150"/>
      <c r="O635" s="150"/>
      <c r="P635" s="150"/>
      <c r="Q635" s="150"/>
      <c r="R635" s="150"/>
      <c r="S635" s="150"/>
      <c r="T635" s="150"/>
      <c r="U635" s="150"/>
      <c r="V635" s="150"/>
      <c r="W635" s="150"/>
      <c r="X635" s="150"/>
    </row>
    <row r="636">
      <c r="A636" s="150"/>
      <c r="B636" s="182"/>
      <c r="C636" s="217"/>
      <c r="D636" s="150"/>
      <c r="E636" s="150"/>
      <c r="F636" s="150"/>
      <c r="G636" s="150"/>
      <c r="H636" s="150"/>
      <c r="I636" s="150"/>
      <c r="J636" s="150"/>
      <c r="K636" s="150"/>
      <c r="L636" s="150"/>
      <c r="M636" s="150"/>
      <c r="N636" s="150"/>
      <c r="O636" s="150"/>
      <c r="P636" s="150"/>
      <c r="Q636" s="150"/>
      <c r="R636" s="150"/>
      <c r="S636" s="150"/>
      <c r="T636" s="150"/>
      <c r="U636" s="150"/>
      <c r="V636" s="150"/>
      <c r="W636" s="150"/>
      <c r="X636" s="150"/>
    </row>
    <row r="637">
      <c r="A637" s="150"/>
      <c r="B637" s="182"/>
      <c r="C637" s="217"/>
      <c r="D637" s="150"/>
      <c r="E637" s="150"/>
      <c r="F637" s="150"/>
      <c r="G637" s="150"/>
      <c r="H637" s="150"/>
      <c r="I637" s="150"/>
      <c r="J637" s="150"/>
      <c r="K637" s="150"/>
      <c r="L637" s="150"/>
      <c r="M637" s="150"/>
      <c r="N637" s="150"/>
      <c r="O637" s="150"/>
      <c r="P637" s="150"/>
      <c r="Q637" s="150"/>
      <c r="R637" s="150"/>
      <c r="S637" s="150"/>
      <c r="T637" s="150"/>
      <c r="U637" s="150"/>
      <c r="V637" s="150"/>
      <c r="W637" s="150"/>
      <c r="X637" s="150"/>
    </row>
    <row r="638">
      <c r="A638" s="150"/>
      <c r="B638" s="182"/>
      <c r="C638" s="217"/>
      <c r="D638" s="150"/>
      <c r="E638" s="150"/>
      <c r="F638" s="150"/>
      <c r="G638" s="150"/>
      <c r="H638" s="150"/>
      <c r="I638" s="150"/>
      <c r="J638" s="150"/>
      <c r="K638" s="150"/>
      <c r="L638" s="150"/>
      <c r="M638" s="150"/>
      <c r="N638" s="150"/>
      <c r="O638" s="150"/>
      <c r="P638" s="150"/>
      <c r="Q638" s="150"/>
      <c r="R638" s="150"/>
      <c r="S638" s="150"/>
      <c r="T638" s="150"/>
      <c r="U638" s="150"/>
      <c r="V638" s="150"/>
      <c r="W638" s="150"/>
      <c r="X638" s="150"/>
    </row>
    <row r="639">
      <c r="A639" s="150"/>
      <c r="B639" s="182"/>
      <c r="C639" s="217"/>
      <c r="D639" s="150"/>
      <c r="E639" s="150"/>
      <c r="F639" s="150"/>
      <c r="G639" s="150"/>
      <c r="H639" s="150"/>
      <c r="I639" s="150"/>
      <c r="J639" s="150"/>
      <c r="K639" s="150"/>
      <c r="L639" s="150"/>
      <c r="M639" s="150"/>
      <c r="N639" s="150"/>
      <c r="O639" s="150"/>
      <c r="P639" s="150"/>
      <c r="Q639" s="150"/>
      <c r="R639" s="150"/>
      <c r="S639" s="150"/>
      <c r="T639" s="150"/>
      <c r="U639" s="150"/>
      <c r="V639" s="150"/>
      <c r="W639" s="150"/>
      <c r="X639" s="150"/>
    </row>
    <row r="640">
      <c r="A640" s="150"/>
      <c r="B640" s="182"/>
      <c r="C640" s="217"/>
      <c r="D640" s="150"/>
      <c r="E640" s="150"/>
      <c r="F640" s="150"/>
      <c r="G640" s="150"/>
      <c r="H640" s="150"/>
      <c r="I640" s="150"/>
      <c r="J640" s="150"/>
      <c r="K640" s="150"/>
      <c r="L640" s="150"/>
      <c r="M640" s="150"/>
      <c r="N640" s="150"/>
      <c r="O640" s="150"/>
      <c r="P640" s="150"/>
      <c r="Q640" s="150"/>
      <c r="R640" s="150"/>
      <c r="S640" s="150"/>
      <c r="T640" s="150"/>
      <c r="U640" s="150"/>
      <c r="V640" s="150"/>
      <c r="W640" s="150"/>
      <c r="X640" s="150"/>
    </row>
    <row r="641">
      <c r="A641" s="150"/>
      <c r="B641" s="182"/>
      <c r="C641" s="217"/>
      <c r="D641" s="150"/>
      <c r="E641" s="150"/>
      <c r="F641" s="150"/>
      <c r="G641" s="150"/>
      <c r="H641" s="150"/>
      <c r="I641" s="150"/>
      <c r="J641" s="150"/>
      <c r="K641" s="150"/>
      <c r="L641" s="150"/>
      <c r="M641" s="150"/>
      <c r="N641" s="150"/>
      <c r="O641" s="150"/>
      <c r="P641" s="150"/>
      <c r="Q641" s="150"/>
      <c r="R641" s="150"/>
      <c r="S641" s="150"/>
      <c r="T641" s="150"/>
      <c r="U641" s="150"/>
      <c r="V641" s="150"/>
      <c r="W641" s="150"/>
      <c r="X641" s="150"/>
    </row>
    <row r="642">
      <c r="A642" s="150"/>
      <c r="B642" s="182"/>
      <c r="C642" s="217"/>
      <c r="D642" s="150"/>
      <c r="E642" s="150"/>
      <c r="F642" s="150"/>
      <c r="G642" s="150"/>
      <c r="H642" s="150"/>
      <c r="I642" s="150"/>
      <c r="J642" s="150"/>
      <c r="K642" s="150"/>
      <c r="L642" s="150"/>
      <c r="M642" s="150"/>
      <c r="N642" s="150"/>
      <c r="O642" s="150"/>
      <c r="P642" s="150"/>
      <c r="Q642" s="150"/>
      <c r="R642" s="150"/>
      <c r="S642" s="150"/>
      <c r="T642" s="150"/>
      <c r="U642" s="150"/>
      <c r="V642" s="150"/>
      <c r="W642" s="150"/>
      <c r="X642" s="150"/>
    </row>
    <row r="643">
      <c r="A643" s="150"/>
      <c r="B643" s="182"/>
      <c r="C643" s="217"/>
      <c r="D643" s="150"/>
      <c r="E643" s="150"/>
      <c r="F643" s="150"/>
      <c r="G643" s="150"/>
      <c r="H643" s="150"/>
      <c r="I643" s="150"/>
      <c r="J643" s="150"/>
      <c r="K643" s="150"/>
      <c r="L643" s="150"/>
      <c r="M643" s="150"/>
      <c r="N643" s="150"/>
      <c r="O643" s="150"/>
      <c r="P643" s="150"/>
      <c r="Q643" s="150"/>
      <c r="R643" s="150"/>
      <c r="S643" s="150"/>
      <c r="T643" s="150"/>
      <c r="U643" s="150"/>
      <c r="V643" s="150"/>
      <c r="W643" s="150"/>
      <c r="X643" s="150"/>
    </row>
    <row r="644">
      <c r="A644" s="150"/>
      <c r="B644" s="182"/>
      <c r="C644" s="217"/>
      <c r="D644" s="150"/>
      <c r="E644" s="150"/>
      <c r="F644" s="150"/>
      <c r="G644" s="150"/>
      <c r="H644" s="150"/>
      <c r="I644" s="150"/>
      <c r="J644" s="150"/>
      <c r="K644" s="150"/>
      <c r="L644" s="150"/>
      <c r="M644" s="150"/>
      <c r="N644" s="150"/>
      <c r="O644" s="150"/>
      <c r="P644" s="150"/>
      <c r="Q644" s="150"/>
      <c r="R644" s="150"/>
      <c r="S644" s="150"/>
      <c r="T644" s="150"/>
      <c r="U644" s="150"/>
      <c r="V644" s="150"/>
      <c r="W644" s="150"/>
      <c r="X644" s="150"/>
    </row>
    <row r="645">
      <c r="A645" s="150"/>
      <c r="B645" s="182"/>
      <c r="C645" s="217"/>
      <c r="D645" s="150"/>
      <c r="E645" s="150"/>
      <c r="F645" s="150"/>
      <c r="G645" s="150"/>
      <c r="H645" s="150"/>
      <c r="I645" s="150"/>
      <c r="J645" s="150"/>
      <c r="K645" s="150"/>
      <c r="L645" s="150"/>
      <c r="M645" s="150"/>
      <c r="N645" s="150"/>
      <c r="O645" s="150"/>
      <c r="P645" s="150"/>
      <c r="Q645" s="150"/>
      <c r="R645" s="150"/>
      <c r="S645" s="150"/>
      <c r="T645" s="150"/>
      <c r="U645" s="150"/>
      <c r="V645" s="150"/>
      <c r="W645" s="150"/>
      <c r="X645" s="150"/>
    </row>
    <row r="646">
      <c r="A646" s="150"/>
      <c r="B646" s="182"/>
      <c r="C646" s="217"/>
      <c r="D646" s="150"/>
      <c r="E646" s="150"/>
      <c r="F646" s="150"/>
      <c r="G646" s="150"/>
      <c r="H646" s="150"/>
      <c r="I646" s="150"/>
      <c r="J646" s="150"/>
      <c r="K646" s="150"/>
      <c r="L646" s="150"/>
      <c r="M646" s="150"/>
      <c r="N646" s="150"/>
      <c r="O646" s="150"/>
      <c r="P646" s="150"/>
      <c r="Q646" s="150"/>
      <c r="R646" s="150"/>
      <c r="S646" s="150"/>
      <c r="T646" s="150"/>
      <c r="U646" s="150"/>
      <c r="V646" s="150"/>
      <c r="W646" s="150"/>
      <c r="X646" s="150"/>
    </row>
    <row r="647">
      <c r="A647" s="150"/>
      <c r="B647" s="182"/>
      <c r="C647" s="217"/>
      <c r="D647" s="150"/>
      <c r="E647" s="150"/>
      <c r="F647" s="150"/>
      <c r="G647" s="150"/>
      <c r="H647" s="150"/>
      <c r="I647" s="150"/>
      <c r="J647" s="150"/>
      <c r="K647" s="150"/>
      <c r="L647" s="150"/>
      <c r="M647" s="150"/>
      <c r="N647" s="150"/>
      <c r="O647" s="150"/>
      <c r="P647" s="150"/>
      <c r="Q647" s="150"/>
      <c r="R647" s="150"/>
      <c r="S647" s="150"/>
      <c r="T647" s="150"/>
      <c r="U647" s="150"/>
      <c r="V647" s="150"/>
      <c r="W647" s="150"/>
      <c r="X647" s="150"/>
    </row>
    <row r="648">
      <c r="A648" s="150"/>
      <c r="B648" s="182"/>
      <c r="C648" s="217"/>
      <c r="D648" s="150"/>
      <c r="E648" s="150"/>
      <c r="F648" s="150"/>
      <c r="G648" s="150"/>
      <c r="H648" s="150"/>
      <c r="I648" s="150"/>
      <c r="J648" s="150"/>
      <c r="K648" s="150"/>
      <c r="L648" s="150"/>
      <c r="M648" s="150"/>
      <c r="N648" s="150"/>
      <c r="O648" s="150"/>
      <c r="P648" s="150"/>
      <c r="Q648" s="150"/>
      <c r="R648" s="150"/>
      <c r="S648" s="150"/>
      <c r="T648" s="150"/>
      <c r="U648" s="150"/>
      <c r="V648" s="150"/>
      <c r="W648" s="150"/>
      <c r="X648" s="150"/>
    </row>
    <row r="649">
      <c r="A649" s="150"/>
      <c r="B649" s="182"/>
      <c r="C649" s="217"/>
      <c r="D649" s="150"/>
      <c r="E649" s="150"/>
      <c r="F649" s="150"/>
      <c r="G649" s="150"/>
      <c r="H649" s="150"/>
      <c r="I649" s="150"/>
      <c r="J649" s="150"/>
      <c r="K649" s="150"/>
      <c r="L649" s="150"/>
      <c r="M649" s="150"/>
      <c r="N649" s="150"/>
      <c r="O649" s="150"/>
      <c r="P649" s="150"/>
      <c r="Q649" s="150"/>
      <c r="R649" s="150"/>
      <c r="S649" s="150"/>
      <c r="T649" s="150"/>
      <c r="U649" s="150"/>
      <c r="V649" s="150"/>
      <c r="W649" s="150"/>
      <c r="X649" s="150"/>
    </row>
    <row r="650">
      <c r="A650" s="150"/>
      <c r="B650" s="182"/>
      <c r="C650" s="217"/>
      <c r="D650" s="150"/>
      <c r="E650" s="150"/>
      <c r="F650" s="150"/>
      <c r="G650" s="150"/>
      <c r="H650" s="150"/>
      <c r="I650" s="150"/>
      <c r="J650" s="150"/>
      <c r="K650" s="150"/>
      <c r="L650" s="150"/>
      <c r="M650" s="150"/>
      <c r="N650" s="150"/>
      <c r="O650" s="150"/>
      <c r="P650" s="150"/>
      <c r="Q650" s="150"/>
      <c r="R650" s="150"/>
      <c r="S650" s="150"/>
      <c r="T650" s="150"/>
      <c r="U650" s="150"/>
      <c r="V650" s="150"/>
      <c r="W650" s="150"/>
      <c r="X650" s="150"/>
    </row>
    <row r="651">
      <c r="A651" s="150"/>
      <c r="B651" s="182"/>
      <c r="C651" s="217"/>
      <c r="D651" s="150"/>
      <c r="E651" s="150"/>
      <c r="F651" s="150"/>
      <c r="G651" s="150"/>
      <c r="H651" s="150"/>
      <c r="I651" s="150"/>
      <c r="J651" s="150"/>
      <c r="K651" s="150"/>
      <c r="L651" s="150"/>
      <c r="M651" s="150"/>
      <c r="N651" s="150"/>
      <c r="O651" s="150"/>
      <c r="P651" s="150"/>
      <c r="Q651" s="150"/>
      <c r="R651" s="150"/>
      <c r="S651" s="150"/>
      <c r="T651" s="150"/>
      <c r="U651" s="150"/>
      <c r="V651" s="150"/>
      <c r="W651" s="150"/>
      <c r="X651" s="150"/>
    </row>
    <row r="652">
      <c r="A652" s="150"/>
      <c r="B652" s="182"/>
      <c r="C652" s="217"/>
      <c r="D652" s="150"/>
      <c r="E652" s="150"/>
      <c r="F652" s="150"/>
      <c r="G652" s="150"/>
      <c r="H652" s="150"/>
      <c r="I652" s="150"/>
      <c r="J652" s="150"/>
      <c r="K652" s="150"/>
      <c r="L652" s="150"/>
      <c r="M652" s="150"/>
      <c r="N652" s="150"/>
      <c r="O652" s="150"/>
      <c r="P652" s="150"/>
      <c r="Q652" s="150"/>
      <c r="R652" s="150"/>
      <c r="S652" s="150"/>
      <c r="T652" s="150"/>
      <c r="U652" s="150"/>
      <c r="V652" s="150"/>
      <c r="W652" s="150"/>
      <c r="X652" s="150"/>
    </row>
    <row r="653">
      <c r="A653" s="150"/>
      <c r="B653" s="182"/>
      <c r="C653" s="217"/>
      <c r="D653" s="150"/>
      <c r="E653" s="150"/>
      <c r="F653" s="150"/>
      <c r="G653" s="150"/>
      <c r="H653" s="150"/>
      <c r="I653" s="150"/>
      <c r="J653" s="150"/>
      <c r="K653" s="150"/>
      <c r="L653" s="150"/>
      <c r="M653" s="150"/>
      <c r="N653" s="150"/>
      <c r="O653" s="150"/>
      <c r="P653" s="150"/>
      <c r="Q653" s="150"/>
      <c r="R653" s="150"/>
      <c r="S653" s="150"/>
      <c r="T653" s="150"/>
      <c r="U653" s="150"/>
      <c r="V653" s="150"/>
      <c r="W653" s="150"/>
      <c r="X653" s="150"/>
    </row>
    <row r="654">
      <c r="A654" s="150"/>
      <c r="B654" s="182"/>
      <c r="C654" s="217"/>
      <c r="D654" s="150"/>
      <c r="E654" s="150"/>
      <c r="F654" s="150"/>
      <c r="G654" s="150"/>
      <c r="H654" s="150"/>
      <c r="I654" s="150"/>
      <c r="J654" s="150"/>
      <c r="K654" s="150"/>
      <c r="L654" s="150"/>
      <c r="M654" s="150"/>
      <c r="N654" s="150"/>
      <c r="O654" s="150"/>
      <c r="P654" s="150"/>
      <c r="Q654" s="150"/>
      <c r="R654" s="150"/>
      <c r="S654" s="150"/>
      <c r="T654" s="150"/>
      <c r="U654" s="150"/>
      <c r="V654" s="150"/>
      <c r="W654" s="150"/>
      <c r="X654" s="150"/>
    </row>
    <row r="655">
      <c r="A655" s="150"/>
      <c r="B655" s="182"/>
      <c r="C655" s="217"/>
      <c r="D655" s="150"/>
      <c r="E655" s="150"/>
      <c r="F655" s="150"/>
      <c r="G655" s="150"/>
      <c r="H655" s="150"/>
      <c r="I655" s="150"/>
      <c r="J655" s="150"/>
      <c r="K655" s="150"/>
      <c r="L655" s="150"/>
      <c r="M655" s="150"/>
      <c r="N655" s="150"/>
      <c r="O655" s="150"/>
      <c r="P655" s="150"/>
      <c r="Q655" s="150"/>
      <c r="R655" s="150"/>
      <c r="S655" s="150"/>
      <c r="T655" s="150"/>
      <c r="U655" s="150"/>
      <c r="V655" s="150"/>
      <c r="W655" s="150"/>
      <c r="X655" s="150"/>
    </row>
    <row r="656">
      <c r="A656" s="150"/>
      <c r="B656" s="182"/>
      <c r="C656" s="217"/>
      <c r="D656" s="150"/>
      <c r="E656" s="150"/>
      <c r="F656" s="150"/>
      <c r="G656" s="150"/>
      <c r="H656" s="150"/>
      <c r="I656" s="150"/>
      <c r="J656" s="150"/>
      <c r="K656" s="150"/>
      <c r="L656" s="150"/>
      <c r="M656" s="150"/>
      <c r="N656" s="150"/>
      <c r="O656" s="150"/>
      <c r="P656" s="150"/>
      <c r="Q656" s="150"/>
      <c r="R656" s="150"/>
      <c r="S656" s="150"/>
      <c r="T656" s="150"/>
      <c r="U656" s="150"/>
      <c r="V656" s="150"/>
      <c r="W656" s="150"/>
      <c r="X656" s="150"/>
    </row>
    <row r="657">
      <c r="A657" s="150"/>
      <c r="B657" s="182"/>
      <c r="C657" s="217"/>
      <c r="D657" s="150"/>
      <c r="E657" s="150"/>
      <c r="F657" s="150"/>
      <c r="G657" s="150"/>
      <c r="H657" s="150"/>
      <c r="I657" s="150"/>
      <c r="J657" s="150"/>
      <c r="K657" s="150"/>
      <c r="L657" s="150"/>
      <c r="M657" s="150"/>
      <c r="N657" s="150"/>
      <c r="O657" s="150"/>
      <c r="P657" s="150"/>
      <c r="Q657" s="150"/>
      <c r="R657" s="150"/>
      <c r="S657" s="150"/>
      <c r="T657" s="150"/>
      <c r="U657" s="150"/>
      <c r="V657" s="150"/>
      <c r="W657" s="150"/>
      <c r="X657" s="150"/>
    </row>
    <row r="658">
      <c r="A658" s="150"/>
      <c r="B658" s="182"/>
      <c r="C658" s="217"/>
      <c r="D658" s="150"/>
      <c r="E658" s="150"/>
      <c r="F658" s="150"/>
      <c r="G658" s="150"/>
      <c r="H658" s="150"/>
      <c r="I658" s="150"/>
      <c r="J658" s="150"/>
      <c r="K658" s="150"/>
      <c r="L658" s="150"/>
      <c r="M658" s="150"/>
      <c r="N658" s="150"/>
      <c r="O658" s="150"/>
      <c r="P658" s="150"/>
      <c r="Q658" s="150"/>
      <c r="R658" s="150"/>
      <c r="S658" s="150"/>
      <c r="T658" s="150"/>
      <c r="U658" s="150"/>
      <c r="V658" s="150"/>
      <c r="W658" s="150"/>
      <c r="X658" s="150"/>
    </row>
    <row r="659">
      <c r="A659" s="150"/>
      <c r="B659" s="182"/>
      <c r="C659" s="217"/>
      <c r="D659" s="150"/>
      <c r="E659" s="150"/>
      <c r="F659" s="150"/>
      <c r="G659" s="150"/>
      <c r="H659" s="150"/>
      <c r="I659" s="150"/>
      <c r="J659" s="150"/>
      <c r="K659" s="150"/>
      <c r="L659" s="150"/>
      <c r="M659" s="150"/>
      <c r="N659" s="150"/>
      <c r="O659" s="150"/>
      <c r="P659" s="150"/>
      <c r="Q659" s="150"/>
      <c r="R659" s="150"/>
      <c r="S659" s="150"/>
      <c r="T659" s="150"/>
      <c r="U659" s="150"/>
      <c r="V659" s="150"/>
      <c r="W659" s="150"/>
      <c r="X659" s="150"/>
    </row>
    <row r="660">
      <c r="A660" s="150"/>
      <c r="B660" s="182"/>
      <c r="C660" s="217"/>
      <c r="D660" s="150"/>
      <c r="E660" s="150"/>
      <c r="F660" s="150"/>
      <c r="G660" s="150"/>
      <c r="H660" s="150"/>
      <c r="I660" s="150"/>
      <c r="J660" s="150"/>
      <c r="K660" s="150"/>
      <c r="L660" s="150"/>
      <c r="M660" s="150"/>
      <c r="N660" s="150"/>
      <c r="O660" s="150"/>
      <c r="P660" s="150"/>
      <c r="Q660" s="150"/>
      <c r="R660" s="150"/>
      <c r="S660" s="150"/>
      <c r="T660" s="150"/>
      <c r="U660" s="150"/>
      <c r="V660" s="150"/>
      <c r="W660" s="150"/>
      <c r="X660" s="150"/>
    </row>
    <row r="661">
      <c r="A661" s="150"/>
      <c r="B661" s="182"/>
      <c r="C661" s="217"/>
      <c r="D661" s="150"/>
      <c r="E661" s="150"/>
      <c r="F661" s="150"/>
      <c r="G661" s="150"/>
      <c r="H661" s="150"/>
      <c r="I661" s="150"/>
      <c r="J661" s="150"/>
      <c r="K661" s="150"/>
      <c r="L661" s="150"/>
      <c r="M661" s="150"/>
      <c r="N661" s="150"/>
      <c r="O661" s="150"/>
      <c r="P661" s="150"/>
      <c r="Q661" s="150"/>
      <c r="R661" s="150"/>
      <c r="S661" s="150"/>
      <c r="T661" s="150"/>
      <c r="U661" s="150"/>
      <c r="V661" s="150"/>
      <c r="W661" s="150"/>
      <c r="X661" s="150"/>
    </row>
    <row r="662">
      <c r="A662" s="150"/>
      <c r="B662" s="182"/>
      <c r="C662" s="217"/>
      <c r="D662" s="150"/>
      <c r="E662" s="150"/>
      <c r="F662" s="150"/>
      <c r="G662" s="150"/>
      <c r="H662" s="150"/>
      <c r="I662" s="150"/>
      <c r="J662" s="150"/>
      <c r="K662" s="150"/>
      <c r="L662" s="150"/>
      <c r="M662" s="150"/>
      <c r="N662" s="150"/>
      <c r="O662" s="150"/>
      <c r="P662" s="150"/>
      <c r="Q662" s="150"/>
      <c r="R662" s="150"/>
      <c r="S662" s="150"/>
      <c r="T662" s="150"/>
      <c r="U662" s="150"/>
      <c r="V662" s="150"/>
      <c r="W662" s="150"/>
      <c r="X662" s="150"/>
    </row>
    <row r="663">
      <c r="A663" s="150"/>
      <c r="B663" s="182"/>
      <c r="C663" s="217"/>
      <c r="D663" s="150"/>
      <c r="E663" s="150"/>
      <c r="F663" s="150"/>
      <c r="G663" s="150"/>
      <c r="H663" s="150"/>
      <c r="I663" s="150"/>
      <c r="J663" s="150"/>
      <c r="K663" s="150"/>
      <c r="L663" s="150"/>
      <c r="M663" s="150"/>
      <c r="N663" s="150"/>
      <c r="O663" s="150"/>
      <c r="P663" s="150"/>
      <c r="Q663" s="150"/>
      <c r="R663" s="150"/>
      <c r="S663" s="150"/>
      <c r="T663" s="150"/>
      <c r="U663" s="150"/>
      <c r="V663" s="150"/>
      <c r="W663" s="150"/>
      <c r="X663" s="150"/>
    </row>
    <row r="664">
      <c r="A664" s="150"/>
      <c r="B664" s="182"/>
      <c r="C664" s="217"/>
      <c r="D664" s="150"/>
      <c r="E664" s="150"/>
      <c r="F664" s="150"/>
      <c r="G664" s="150"/>
      <c r="H664" s="150"/>
      <c r="I664" s="150"/>
      <c r="J664" s="150"/>
      <c r="K664" s="150"/>
      <c r="L664" s="150"/>
      <c r="M664" s="150"/>
      <c r="N664" s="150"/>
      <c r="O664" s="150"/>
      <c r="P664" s="150"/>
      <c r="Q664" s="150"/>
      <c r="R664" s="150"/>
      <c r="S664" s="150"/>
      <c r="T664" s="150"/>
      <c r="U664" s="150"/>
      <c r="V664" s="150"/>
      <c r="W664" s="150"/>
      <c r="X664" s="150"/>
    </row>
    <row r="665">
      <c r="A665" s="150"/>
      <c r="B665" s="182"/>
      <c r="C665" s="217"/>
      <c r="D665" s="150"/>
      <c r="E665" s="150"/>
      <c r="F665" s="150"/>
      <c r="G665" s="150"/>
      <c r="H665" s="150"/>
      <c r="I665" s="150"/>
      <c r="J665" s="150"/>
      <c r="K665" s="150"/>
      <c r="L665" s="150"/>
      <c r="M665" s="150"/>
      <c r="N665" s="150"/>
      <c r="O665" s="150"/>
      <c r="P665" s="150"/>
      <c r="Q665" s="150"/>
      <c r="R665" s="150"/>
      <c r="S665" s="150"/>
      <c r="T665" s="150"/>
      <c r="U665" s="150"/>
      <c r="V665" s="150"/>
      <c r="W665" s="150"/>
      <c r="X665" s="150"/>
    </row>
    <row r="666">
      <c r="A666" s="150"/>
      <c r="B666" s="182"/>
      <c r="C666" s="217"/>
      <c r="D666" s="150"/>
      <c r="E666" s="150"/>
      <c r="F666" s="150"/>
      <c r="G666" s="150"/>
      <c r="H666" s="150"/>
      <c r="I666" s="150"/>
      <c r="J666" s="150"/>
      <c r="K666" s="150"/>
      <c r="L666" s="150"/>
      <c r="M666" s="150"/>
      <c r="N666" s="150"/>
      <c r="O666" s="150"/>
      <c r="P666" s="150"/>
      <c r="Q666" s="150"/>
      <c r="R666" s="150"/>
      <c r="S666" s="150"/>
      <c r="T666" s="150"/>
      <c r="U666" s="150"/>
      <c r="V666" s="150"/>
      <c r="W666" s="150"/>
      <c r="X666" s="150"/>
    </row>
    <row r="667">
      <c r="A667" s="150"/>
      <c r="B667" s="182"/>
      <c r="C667" s="217"/>
      <c r="D667" s="150"/>
      <c r="E667" s="150"/>
      <c r="F667" s="150"/>
      <c r="G667" s="150"/>
      <c r="H667" s="150"/>
      <c r="I667" s="150"/>
      <c r="J667" s="150"/>
      <c r="K667" s="150"/>
      <c r="L667" s="150"/>
      <c r="M667" s="150"/>
      <c r="N667" s="150"/>
      <c r="O667" s="150"/>
      <c r="P667" s="150"/>
      <c r="Q667" s="150"/>
      <c r="R667" s="150"/>
      <c r="S667" s="150"/>
      <c r="T667" s="150"/>
      <c r="U667" s="150"/>
      <c r="V667" s="150"/>
      <c r="W667" s="150"/>
      <c r="X667" s="150"/>
    </row>
    <row r="668">
      <c r="A668" s="150"/>
      <c r="B668" s="182"/>
      <c r="C668" s="217"/>
      <c r="D668" s="150"/>
      <c r="E668" s="150"/>
      <c r="F668" s="150"/>
      <c r="G668" s="150"/>
      <c r="H668" s="150"/>
      <c r="I668" s="150"/>
      <c r="J668" s="150"/>
      <c r="K668" s="150"/>
      <c r="L668" s="150"/>
      <c r="M668" s="150"/>
      <c r="N668" s="150"/>
      <c r="O668" s="150"/>
      <c r="P668" s="150"/>
      <c r="Q668" s="150"/>
      <c r="R668" s="150"/>
      <c r="S668" s="150"/>
      <c r="T668" s="150"/>
      <c r="U668" s="150"/>
      <c r="V668" s="150"/>
      <c r="W668" s="150"/>
      <c r="X668" s="150"/>
    </row>
    <row r="669">
      <c r="A669" s="150"/>
      <c r="B669" s="182"/>
      <c r="C669" s="217"/>
      <c r="D669" s="150"/>
      <c r="E669" s="150"/>
      <c r="F669" s="150"/>
      <c r="G669" s="150"/>
      <c r="H669" s="150"/>
      <c r="I669" s="150"/>
      <c r="J669" s="150"/>
      <c r="K669" s="150"/>
      <c r="L669" s="150"/>
      <c r="M669" s="150"/>
      <c r="N669" s="150"/>
      <c r="O669" s="150"/>
      <c r="P669" s="150"/>
      <c r="Q669" s="150"/>
      <c r="R669" s="150"/>
      <c r="S669" s="150"/>
      <c r="T669" s="150"/>
      <c r="U669" s="150"/>
      <c r="V669" s="150"/>
      <c r="W669" s="150"/>
      <c r="X669" s="150"/>
    </row>
    <row r="670">
      <c r="A670" s="150"/>
      <c r="B670" s="182"/>
      <c r="C670" s="217"/>
      <c r="D670" s="150"/>
      <c r="E670" s="150"/>
      <c r="F670" s="150"/>
      <c r="G670" s="150"/>
      <c r="H670" s="150"/>
      <c r="I670" s="150"/>
      <c r="J670" s="150"/>
      <c r="K670" s="150"/>
      <c r="L670" s="150"/>
      <c r="M670" s="150"/>
      <c r="N670" s="150"/>
      <c r="O670" s="150"/>
      <c r="P670" s="150"/>
      <c r="Q670" s="150"/>
      <c r="R670" s="150"/>
      <c r="S670" s="150"/>
      <c r="T670" s="150"/>
      <c r="U670" s="150"/>
      <c r="V670" s="150"/>
      <c r="W670" s="150"/>
      <c r="X670" s="150"/>
    </row>
    <row r="671">
      <c r="A671" s="150"/>
      <c r="B671" s="182"/>
      <c r="C671" s="217"/>
      <c r="D671" s="150"/>
      <c r="E671" s="150"/>
      <c r="F671" s="150"/>
      <c r="G671" s="150"/>
      <c r="H671" s="150"/>
      <c r="I671" s="150"/>
      <c r="J671" s="150"/>
      <c r="K671" s="150"/>
      <c r="L671" s="150"/>
      <c r="M671" s="150"/>
      <c r="N671" s="150"/>
      <c r="O671" s="150"/>
      <c r="P671" s="150"/>
      <c r="Q671" s="150"/>
      <c r="R671" s="150"/>
      <c r="S671" s="150"/>
      <c r="T671" s="150"/>
      <c r="U671" s="150"/>
      <c r="V671" s="150"/>
      <c r="W671" s="150"/>
      <c r="X671" s="150"/>
    </row>
    <row r="672">
      <c r="A672" s="150"/>
      <c r="B672" s="182"/>
      <c r="C672" s="217"/>
      <c r="D672" s="150"/>
      <c r="E672" s="150"/>
      <c r="F672" s="150"/>
      <c r="G672" s="150"/>
      <c r="H672" s="150"/>
      <c r="I672" s="150"/>
      <c r="J672" s="150"/>
      <c r="K672" s="150"/>
      <c r="L672" s="150"/>
      <c r="M672" s="150"/>
      <c r="N672" s="150"/>
      <c r="O672" s="150"/>
      <c r="P672" s="150"/>
      <c r="Q672" s="150"/>
      <c r="R672" s="150"/>
      <c r="S672" s="150"/>
      <c r="T672" s="150"/>
      <c r="U672" s="150"/>
      <c r="V672" s="150"/>
      <c r="W672" s="150"/>
      <c r="X672" s="150"/>
    </row>
    <row r="673">
      <c r="A673" s="150"/>
      <c r="B673" s="182"/>
      <c r="C673" s="217"/>
      <c r="D673" s="150"/>
      <c r="E673" s="150"/>
      <c r="F673" s="150"/>
      <c r="G673" s="150"/>
      <c r="H673" s="150"/>
      <c r="I673" s="150"/>
      <c r="J673" s="150"/>
      <c r="K673" s="150"/>
      <c r="L673" s="150"/>
      <c r="M673" s="150"/>
      <c r="N673" s="150"/>
      <c r="O673" s="150"/>
      <c r="P673" s="150"/>
      <c r="Q673" s="150"/>
      <c r="R673" s="150"/>
      <c r="S673" s="150"/>
      <c r="T673" s="150"/>
      <c r="U673" s="150"/>
      <c r="V673" s="150"/>
      <c r="W673" s="150"/>
      <c r="X673" s="150"/>
    </row>
    <row r="674">
      <c r="A674" s="150"/>
      <c r="B674" s="182"/>
      <c r="C674" s="217"/>
      <c r="D674" s="150"/>
      <c r="E674" s="150"/>
      <c r="F674" s="150"/>
      <c r="G674" s="150"/>
      <c r="H674" s="150"/>
      <c r="I674" s="150"/>
      <c r="J674" s="150"/>
      <c r="K674" s="150"/>
      <c r="L674" s="150"/>
      <c r="M674" s="150"/>
      <c r="N674" s="150"/>
      <c r="O674" s="150"/>
      <c r="P674" s="150"/>
      <c r="Q674" s="150"/>
      <c r="R674" s="150"/>
      <c r="S674" s="150"/>
      <c r="T674" s="150"/>
      <c r="U674" s="150"/>
      <c r="V674" s="150"/>
      <c r="W674" s="150"/>
      <c r="X674" s="150"/>
    </row>
    <row r="675">
      <c r="A675" s="150"/>
      <c r="B675" s="182"/>
      <c r="C675" s="217"/>
      <c r="D675" s="150"/>
      <c r="E675" s="150"/>
      <c r="F675" s="150"/>
      <c r="G675" s="150"/>
      <c r="H675" s="150"/>
      <c r="I675" s="150"/>
      <c r="J675" s="150"/>
      <c r="K675" s="150"/>
      <c r="L675" s="150"/>
      <c r="M675" s="150"/>
      <c r="N675" s="150"/>
      <c r="O675" s="150"/>
      <c r="P675" s="150"/>
      <c r="Q675" s="150"/>
      <c r="R675" s="150"/>
      <c r="S675" s="150"/>
      <c r="T675" s="150"/>
      <c r="U675" s="150"/>
      <c r="V675" s="150"/>
      <c r="W675" s="150"/>
      <c r="X675" s="150"/>
    </row>
    <row r="676">
      <c r="A676" s="150"/>
      <c r="B676" s="182"/>
      <c r="C676" s="217"/>
      <c r="D676" s="150"/>
      <c r="E676" s="150"/>
      <c r="F676" s="150"/>
      <c r="G676" s="150"/>
      <c r="H676" s="150"/>
      <c r="I676" s="150"/>
      <c r="J676" s="150"/>
      <c r="K676" s="150"/>
      <c r="L676" s="150"/>
      <c r="M676" s="150"/>
      <c r="N676" s="150"/>
      <c r="O676" s="150"/>
      <c r="P676" s="150"/>
      <c r="Q676" s="150"/>
      <c r="R676" s="150"/>
      <c r="S676" s="150"/>
      <c r="T676" s="150"/>
      <c r="U676" s="150"/>
      <c r="V676" s="150"/>
      <c r="W676" s="150"/>
      <c r="X676" s="150"/>
    </row>
    <row r="677">
      <c r="A677" s="150"/>
      <c r="B677" s="182"/>
      <c r="C677" s="217"/>
      <c r="D677" s="150"/>
      <c r="E677" s="150"/>
      <c r="F677" s="150"/>
      <c r="G677" s="150"/>
      <c r="H677" s="150"/>
      <c r="I677" s="150"/>
      <c r="J677" s="150"/>
      <c r="K677" s="150"/>
      <c r="L677" s="150"/>
      <c r="M677" s="150"/>
      <c r="N677" s="150"/>
      <c r="O677" s="150"/>
      <c r="P677" s="150"/>
      <c r="Q677" s="150"/>
      <c r="R677" s="150"/>
      <c r="S677" s="150"/>
      <c r="T677" s="150"/>
      <c r="U677" s="150"/>
      <c r="V677" s="150"/>
      <c r="W677" s="150"/>
      <c r="X677" s="150"/>
    </row>
    <row r="678">
      <c r="A678" s="150"/>
      <c r="B678" s="182"/>
      <c r="C678" s="217"/>
      <c r="D678" s="150"/>
      <c r="E678" s="150"/>
      <c r="F678" s="150"/>
      <c r="G678" s="150"/>
      <c r="H678" s="150"/>
      <c r="I678" s="150"/>
      <c r="J678" s="150"/>
      <c r="K678" s="150"/>
      <c r="L678" s="150"/>
      <c r="M678" s="150"/>
      <c r="N678" s="150"/>
      <c r="O678" s="150"/>
      <c r="P678" s="150"/>
      <c r="Q678" s="150"/>
      <c r="R678" s="150"/>
      <c r="S678" s="150"/>
      <c r="T678" s="150"/>
      <c r="U678" s="150"/>
      <c r="V678" s="150"/>
      <c r="W678" s="150"/>
      <c r="X678" s="150"/>
    </row>
    <row r="679">
      <c r="A679" s="150"/>
      <c r="B679" s="182"/>
      <c r="C679" s="217"/>
      <c r="D679" s="150"/>
      <c r="E679" s="150"/>
      <c r="F679" s="150"/>
      <c r="G679" s="150"/>
      <c r="H679" s="150"/>
      <c r="I679" s="150"/>
      <c r="J679" s="150"/>
      <c r="K679" s="150"/>
      <c r="L679" s="150"/>
      <c r="M679" s="150"/>
      <c r="N679" s="150"/>
      <c r="O679" s="150"/>
      <c r="P679" s="150"/>
      <c r="Q679" s="150"/>
      <c r="R679" s="150"/>
      <c r="S679" s="150"/>
      <c r="T679" s="150"/>
      <c r="U679" s="150"/>
      <c r="V679" s="150"/>
      <c r="W679" s="150"/>
      <c r="X679" s="150"/>
    </row>
    <row r="680">
      <c r="A680" s="150"/>
      <c r="B680" s="182"/>
      <c r="C680" s="217"/>
      <c r="D680" s="150"/>
      <c r="E680" s="150"/>
      <c r="F680" s="150"/>
      <c r="G680" s="150"/>
      <c r="H680" s="150"/>
      <c r="I680" s="150"/>
      <c r="J680" s="150"/>
      <c r="K680" s="150"/>
      <c r="L680" s="150"/>
      <c r="M680" s="150"/>
      <c r="N680" s="150"/>
      <c r="O680" s="150"/>
      <c r="P680" s="150"/>
      <c r="Q680" s="150"/>
      <c r="R680" s="150"/>
      <c r="S680" s="150"/>
      <c r="T680" s="150"/>
      <c r="U680" s="150"/>
      <c r="V680" s="150"/>
      <c r="W680" s="150"/>
      <c r="X680" s="150"/>
    </row>
    <row r="681">
      <c r="A681" s="150"/>
      <c r="B681" s="182"/>
      <c r="C681" s="217"/>
      <c r="D681" s="150"/>
      <c r="E681" s="150"/>
      <c r="F681" s="150"/>
      <c r="G681" s="150"/>
      <c r="H681" s="150"/>
      <c r="I681" s="150"/>
      <c r="J681" s="150"/>
      <c r="K681" s="150"/>
      <c r="L681" s="150"/>
      <c r="M681" s="150"/>
      <c r="N681" s="150"/>
      <c r="O681" s="150"/>
      <c r="P681" s="150"/>
      <c r="Q681" s="150"/>
      <c r="R681" s="150"/>
      <c r="S681" s="150"/>
      <c r="T681" s="150"/>
      <c r="U681" s="150"/>
      <c r="V681" s="150"/>
      <c r="W681" s="150"/>
      <c r="X681" s="150"/>
    </row>
    <row r="682">
      <c r="A682" s="150"/>
      <c r="B682" s="182"/>
      <c r="C682" s="217"/>
      <c r="D682" s="150"/>
      <c r="E682" s="150"/>
      <c r="F682" s="150"/>
      <c r="G682" s="150"/>
      <c r="H682" s="150"/>
      <c r="I682" s="150"/>
      <c r="J682" s="150"/>
      <c r="K682" s="150"/>
      <c r="L682" s="150"/>
      <c r="M682" s="150"/>
      <c r="N682" s="150"/>
      <c r="O682" s="150"/>
      <c r="P682" s="150"/>
      <c r="Q682" s="150"/>
      <c r="R682" s="150"/>
      <c r="S682" s="150"/>
      <c r="T682" s="150"/>
      <c r="U682" s="150"/>
      <c r="V682" s="150"/>
      <c r="W682" s="150"/>
      <c r="X682" s="150"/>
    </row>
    <row r="683">
      <c r="A683" s="150"/>
      <c r="B683" s="182"/>
      <c r="C683" s="217"/>
      <c r="D683" s="150"/>
      <c r="E683" s="150"/>
      <c r="F683" s="150"/>
      <c r="G683" s="150"/>
      <c r="H683" s="150"/>
      <c r="I683" s="150"/>
      <c r="J683" s="150"/>
      <c r="K683" s="150"/>
      <c r="L683" s="150"/>
      <c r="M683" s="150"/>
      <c r="N683" s="150"/>
      <c r="O683" s="150"/>
      <c r="P683" s="150"/>
      <c r="Q683" s="150"/>
      <c r="R683" s="150"/>
      <c r="S683" s="150"/>
      <c r="T683" s="150"/>
      <c r="U683" s="150"/>
      <c r="V683" s="150"/>
      <c r="W683" s="150"/>
      <c r="X683" s="150"/>
    </row>
    <row r="684">
      <c r="A684" s="150"/>
      <c r="B684" s="182"/>
      <c r="C684" s="217"/>
      <c r="D684" s="150"/>
      <c r="E684" s="150"/>
      <c r="F684" s="150"/>
      <c r="G684" s="150"/>
      <c r="H684" s="150"/>
      <c r="I684" s="150"/>
      <c r="J684" s="150"/>
      <c r="K684" s="150"/>
      <c r="L684" s="150"/>
      <c r="M684" s="150"/>
      <c r="N684" s="150"/>
      <c r="O684" s="150"/>
      <c r="P684" s="150"/>
      <c r="Q684" s="150"/>
      <c r="R684" s="150"/>
      <c r="S684" s="150"/>
      <c r="T684" s="150"/>
      <c r="U684" s="150"/>
      <c r="V684" s="150"/>
      <c r="W684" s="150"/>
      <c r="X684" s="150"/>
    </row>
    <row r="685">
      <c r="A685" s="150"/>
      <c r="B685" s="182"/>
      <c r="C685" s="217"/>
      <c r="D685" s="150"/>
      <c r="E685" s="150"/>
      <c r="F685" s="150"/>
      <c r="G685" s="150"/>
      <c r="H685" s="150"/>
      <c r="I685" s="150"/>
      <c r="J685" s="150"/>
      <c r="K685" s="150"/>
      <c r="L685" s="150"/>
      <c r="M685" s="150"/>
      <c r="N685" s="150"/>
      <c r="O685" s="150"/>
      <c r="P685" s="150"/>
      <c r="Q685" s="150"/>
      <c r="R685" s="150"/>
      <c r="S685" s="150"/>
      <c r="T685" s="150"/>
      <c r="U685" s="150"/>
      <c r="V685" s="150"/>
      <c r="W685" s="150"/>
      <c r="X685" s="150"/>
    </row>
    <row r="686">
      <c r="A686" s="150"/>
      <c r="B686" s="182"/>
      <c r="C686" s="217"/>
      <c r="D686" s="150"/>
      <c r="E686" s="150"/>
      <c r="F686" s="150"/>
      <c r="G686" s="150"/>
      <c r="H686" s="150"/>
      <c r="I686" s="150"/>
      <c r="J686" s="150"/>
      <c r="K686" s="150"/>
      <c r="L686" s="150"/>
      <c r="M686" s="150"/>
      <c r="N686" s="150"/>
      <c r="O686" s="150"/>
      <c r="P686" s="150"/>
      <c r="Q686" s="150"/>
      <c r="R686" s="150"/>
      <c r="S686" s="150"/>
      <c r="T686" s="150"/>
      <c r="U686" s="150"/>
      <c r="V686" s="150"/>
      <c r="W686" s="150"/>
      <c r="X686" s="150"/>
    </row>
    <row r="687">
      <c r="A687" s="150"/>
      <c r="B687" s="182"/>
      <c r="C687" s="217"/>
      <c r="D687" s="150"/>
      <c r="E687" s="150"/>
      <c r="F687" s="150"/>
      <c r="G687" s="150"/>
      <c r="H687" s="150"/>
      <c r="I687" s="150"/>
      <c r="J687" s="150"/>
      <c r="K687" s="150"/>
      <c r="L687" s="150"/>
      <c r="M687" s="150"/>
      <c r="N687" s="150"/>
      <c r="O687" s="150"/>
      <c r="P687" s="150"/>
      <c r="Q687" s="150"/>
      <c r="R687" s="150"/>
      <c r="S687" s="150"/>
      <c r="T687" s="150"/>
      <c r="U687" s="150"/>
      <c r="V687" s="150"/>
      <c r="W687" s="150"/>
      <c r="X687" s="150"/>
    </row>
    <row r="688">
      <c r="A688" s="150"/>
      <c r="B688" s="182"/>
      <c r="C688" s="217"/>
      <c r="D688" s="150"/>
      <c r="E688" s="150"/>
      <c r="F688" s="150"/>
      <c r="G688" s="150"/>
      <c r="H688" s="150"/>
      <c r="I688" s="150"/>
      <c r="J688" s="150"/>
      <c r="K688" s="150"/>
      <c r="L688" s="150"/>
      <c r="M688" s="150"/>
      <c r="N688" s="150"/>
      <c r="O688" s="150"/>
      <c r="P688" s="150"/>
      <c r="Q688" s="150"/>
      <c r="R688" s="150"/>
      <c r="S688" s="150"/>
      <c r="T688" s="150"/>
      <c r="U688" s="150"/>
      <c r="V688" s="150"/>
      <c r="W688" s="150"/>
      <c r="X688" s="150"/>
    </row>
    <row r="689">
      <c r="A689" s="150"/>
      <c r="B689" s="182"/>
      <c r="C689" s="217"/>
      <c r="D689" s="150"/>
      <c r="E689" s="150"/>
      <c r="F689" s="150"/>
      <c r="G689" s="150"/>
      <c r="H689" s="150"/>
      <c r="I689" s="150"/>
      <c r="J689" s="150"/>
      <c r="K689" s="150"/>
      <c r="L689" s="150"/>
      <c r="M689" s="150"/>
      <c r="N689" s="150"/>
      <c r="O689" s="150"/>
      <c r="P689" s="150"/>
      <c r="Q689" s="150"/>
      <c r="R689" s="150"/>
      <c r="S689" s="150"/>
      <c r="T689" s="150"/>
      <c r="U689" s="150"/>
      <c r="V689" s="150"/>
      <c r="W689" s="150"/>
      <c r="X689" s="150"/>
    </row>
    <row r="690">
      <c r="A690" s="150"/>
      <c r="B690" s="182"/>
      <c r="C690" s="217"/>
      <c r="D690" s="150"/>
      <c r="E690" s="150"/>
      <c r="F690" s="150"/>
      <c r="G690" s="150"/>
      <c r="H690" s="150"/>
      <c r="I690" s="150"/>
      <c r="J690" s="150"/>
      <c r="K690" s="150"/>
      <c r="L690" s="150"/>
      <c r="M690" s="150"/>
      <c r="N690" s="150"/>
      <c r="O690" s="150"/>
      <c r="P690" s="150"/>
      <c r="Q690" s="150"/>
      <c r="R690" s="150"/>
      <c r="S690" s="150"/>
      <c r="T690" s="150"/>
      <c r="U690" s="150"/>
      <c r="V690" s="150"/>
      <c r="W690" s="150"/>
      <c r="X690" s="150"/>
    </row>
    <row r="691">
      <c r="A691" s="150"/>
      <c r="B691" s="182"/>
      <c r="C691" s="217"/>
      <c r="D691" s="150"/>
      <c r="E691" s="150"/>
      <c r="F691" s="150"/>
      <c r="G691" s="150"/>
      <c r="H691" s="150"/>
      <c r="I691" s="150"/>
      <c r="J691" s="150"/>
      <c r="K691" s="150"/>
      <c r="L691" s="150"/>
      <c r="M691" s="150"/>
      <c r="N691" s="150"/>
      <c r="O691" s="150"/>
      <c r="P691" s="150"/>
      <c r="Q691" s="150"/>
      <c r="R691" s="150"/>
      <c r="S691" s="150"/>
      <c r="T691" s="150"/>
      <c r="U691" s="150"/>
      <c r="V691" s="150"/>
      <c r="W691" s="150"/>
      <c r="X691" s="150"/>
    </row>
    <row r="692">
      <c r="A692" s="150"/>
      <c r="B692" s="182"/>
      <c r="C692" s="217"/>
      <c r="D692" s="150"/>
      <c r="E692" s="150"/>
      <c r="F692" s="150"/>
      <c r="G692" s="150"/>
      <c r="H692" s="150"/>
      <c r="I692" s="150"/>
      <c r="J692" s="150"/>
      <c r="K692" s="150"/>
      <c r="L692" s="150"/>
      <c r="M692" s="150"/>
      <c r="N692" s="150"/>
      <c r="O692" s="150"/>
      <c r="P692" s="150"/>
      <c r="Q692" s="150"/>
      <c r="R692" s="150"/>
      <c r="S692" s="150"/>
      <c r="T692" s="150"/>
      <c r="U692" s="150"/>
      <c r="V692" s="150"/>
      <c r="W692" s="150"/>
      <c r="X692" s="150"/>
    </row>
    <row r="693">
      <c r="A693" s="150"/>
      <c r="B693" s="182"/>
      <c r="C693" s="217"/>
      <c r="D693" s="150"/>
      <c r="E693" s="150"/>
      <c r="F693" s="150"/>
      <c r="G693" s="150"/>
      <c r="H693" s="150"/>
      <c r="I693" s="150"/>
      <c r="J693" s="150"/>
      <c r="K693" s="150"/>
      <c r="L693" s="150"/>
      <c r="M693" s="150"/>
      <c r="N693" s="150"/>
      <c r="O693" s="150"/>
      <c r="P693" s="150"/>
      <c r="Q693" s="150"/>
      <c r="R693" s="150"/>
      <c r="S693" s="150"/>
      <c r="T693" s="150"/>
      <c r="U693" s="150"/>
      <c r="V693" s="150"/>
      <c r="W693" s="150"/>
      <c r="X693" s="150"/>
    </row>
    <row r="694">
      <c r="A694" s="150"/>
      <c r="B694" s="182"/>
      <c r="C694" s="217"/>
      <c r="D694" s="150"/>
      <c r="E694" s="150"/>
      <c r="F694" s="150"/>
      <c r="G694" s="150"/>
      <c r="H694" s="150"/>
      <c r="I694" s="150"/>
      <c r="J694" s="150"/>
      <c r="K694" s="150"/>
      <c r="L694" s="150"/>
      <c r="M694" s="150"/>
      <c r="N694" s="150"/>
      <c r="O694" s="150"/>
      <c r="P694" s="150"/>
      <c r="Q694" s="150"/>
      <c r="R694" s="150"/>
      <c r="S694" s="150"/>
      <c r="T694" s="150"/>
      <c r="U694" s="150"/>
      <c r="V694" s="150"/>
      <c r="W694" s="150"/>
      <c r="X694" s="150"/>
    </row>
    <row r="695">
      <c r="A695" s="150"/>
      <c r="B695" s="182"/>
      <c r="C695" s="217"/>
      <c r="D695" s="150"/>
      <c r="E695" s="150"/>
      <c r="F695" s="150"/>
      <c r="G695" s="150"/>
      <c r="H695" s="150"/>
      <c r="I695" s="150"/>
      <c r="J695" s="150"/>
      <c r="K695" s="150"/>
      <c r="L695" s="150"/>
      <c r="M695" s="150"/>
      <c r="N695" s="150"/>
      <c r="O695" s="150"/>
      <c r="P695" s="150"/>
      <c r="Q695" s="150"/>
      <c r="R695" s="150"/>
      <c r="S695" s="150"/>
      <c r="T695" s="150"/>
      <c r="U695" s="150"/>
      <c r="V695" s="150"/>
      <c r="W695" s="150"/>
      <c r="X695" s="150"/>
    </row>
    <row r="696">
      <c r="A696" s="150"/>
      <c r="B696" s="182"/>
      <c r="C696" s="217"/>
      <c r="D696" s="150"/>
      <c r="E696" s="150"/>
      <c r="F696" s="150"/>
      <c r="G696" s="150"/>
      <c r="H696" s="150"/>
      <c r="I696" s="150"/>
      <c r="J696" s="150"/>
      <c r="K696" s="150"/>
      <c r="L696" s="150"/>
      <c r="M696" s="150"/>
      <c r="N696" s="150"/>
      <c r="O696" s="150"/>
      <c r="P696" s="150"/>
      <c r="Q696" s="150"/>
      <c r="R696" s="150"/>
      <c r="S696" s="150"/>
      <c r="T696" s="150"/>
      <c r="U696" s="150"/>
      <c r="V696" s="150"/>
      <c r="W696" s="150"/>
      <c r="X696" s="150"/>
    </row>
    <row r="697">
      <c r="A697" s="150"/>
      <c r="B697" s="182"/>
      <c r="C697" s="217"/>
      <c r="D697" s="150"/>
      <c r="E697" s="150"/>
      <c r="F697" s="150"/>
      <c r="G697" s="150"/>
      <c r="H697" s="150"/>
      <c r="I697" s="150"/>
      <c r="J697" s="150"/>
      <c r="K697" s="150"/>
      <c r="L697" s="150"/>
      <c r="M697" s="150"/>
      <c r="N697" s="150"/>
      <c r="O697" s="150"/>
      <c r="P697" s="150"/>
      <c r="Q697" s="150"/>
      <c r="R697" s="150"/>
      <c r="S697" s="150"/>
      <c r="T697" s="150"/>
      <c r="U697" s="150"/>
      <c r="V697" s="150"/>
      <c r="W697" s="150"/>
      <c r="X697" s="150"/>
    </row>
    <row r="698">
      <c r="A698" s="150"/>
      <c r="B698" s="182"/>
      <c r="C698" s="217"/>
      <c r="D698" s="150"/>
      <c r="E698" s="150"/>
      <c r="F698" s="150"/>
      <c r="G698" s="150"/>
      <c r="H698" s="150"/>
      <c r="I698" s="150"/>
      <c r="J698" s="150"/>
      <c r="K698" s="150"/>
      <c r="L698" s="150"/>
      <c r="M698" s="150"/>
      <c r="N698" s="150"/>
      <c r="O698" s="150"/>
      <c r="P698" s="150"/>
      <c r="Q698" s="150"/>
      <c r="R698" s="150"/>
      <c r="S698" s="150"/>
      <c r="T698" s="150"/>
      <c r="U698" s="150"/>
      <c r="V698" s="150"/>
      <c r="W698" s="150"/>
      <c r="X698" s="150"/>
    </row>
    <row r="699">
      <c r="A699" s="150"/>
      <c r="B699" s="182"/>
      <c r="C699" s="217"/>
      <c r="D699" s="150"/>
      <c r="E699" s="150"/>
      <c r="F699" s="150"/>
      <c r="G699" s="150"/>
      <c r="H699" s="150"/>
      <c r="I699" s="150"/>
      <c r="J699" s="150"/>
      <c r="K699" s="150"/>
      <c r="L699" s="150"/>
      <c r="M699" s="150"/>
      <c r="N699" s="150"/>
      <c r="O699" s="150"/>
      <c r="P699" s="150"/>
      <c r="Q699" s="150"/>
      <c r="R699" s="150"/>
      <c r="S699" s="150"/>
      <c r="T699" s="150"/>
      <c r="U699" s="150"/>
      <c r="V699" s="150"/>
      <c r="W699" s="150"/>
      <c r="X699" s="150"/>
    </row>
    <row r="700">
      <c r="A700" s="150"/>
      <c r="B700" s="182"/>
      <c r="C700" s="217"/>
      <c r="D700" s="150"/>
      <c r="E700" s="150"/>
      <c r="F700" s="150"/>
      <c r="G700" s="150"/>
      <c r="H700" s="150"/>
      <c r="I700" s="150"/>
      <c r="J700" s="150"/>
      <c r="K700" s="150"/>
      <c r="L700" s="150"/>
      <c r="M700" s="150"/>
      <c r="N700" s="150"/>
      <c r="O700" s="150"/>
      <c r="P700" s="150"/>
      <c r="Q700" s="150"/>
      <c r="R700" s="150"/>
      <c r="S700" s="150"/>
      <c r="T700" s="150"/>
      <c r="U700" s="150"/>
      <c r="V700" s="150"/>
      <c r="W700" s="150"/>
      <c r="X700" s="150"/>
    </row>
    <row r="701">
      <c r="A701" s="150"/>
      <c r="B701" s="182"/>
      <c r="C701" s="217"/>
      <c r="D701" s="150"/>
      <c r="E701" s="150"/>
      <c r="F701" s="150"/>
      <c r="G701" s="150"/>
      <c r="H701" s="150"/>
      <c r="I701" s="150"/>
      <c r="J701" s="150"/>
      <c r="K701" s="150"/>
      <c r="L701" s="150"/>
      <c r="M701" s="150"/>
      <c r="N701" s="150"/>
      <c r="O701" s="150"/>
      <c r="P701" s="150"/>
      <c r="Q701" s="150"/>
      <c r="R701" s="150"/>
      <c r="S701" s="150"/>
      <c r="T701" s="150"/>
      <c r="U701" s="150"/>
      <c r="V701" s="150"/>
      <c r="W701" s="150"/>
      <c r="X701" s="150"/>
    </row>
    <row r="702">
      <c r="A702" s="150"/>
      <c r="B702" s="182"/>
      <c r="C702" s="217"/>
      <c r="D702" s="150"/>
      <c r="E702" s="150"/>
      <c r="F702" s="150"/>
      <c r="G702" s="150"/>
      <c r="H702" s="150"/>
      <c r="I702" s="150"/>
      <c r="J702" s="150"/>
      <c r="K702" s="150"/>
      <c r="L702" s="150"/>
      <c r="M702" s="150"/>
      <c r="N702" s="150"/>
      <c r="O702" s="150"/>
      <c r="P702" s="150"/>
      <c r="Q702" s="150"/>
      <c r="R702" s="150"/>
      <c r="S702" s="150"/>
      <c r="T702" s="150"/>
      <c r="U702" s="150"/>
      <c r="V702" s="150"/>
      <c r="W702" s="150"/>
      <c r="X702" s="150"/>
    </row>
    <row r="703">
      <c r="A703" s="150"/>
      <c r="B703" s="182"/>
      <c r="C703" s="217"/>
      <c r="D703" s="150"/>
      <c r="E703" s="150"/>
      <c r="F703" s="150"/>
      <c r="G703" s="150"/>
      <c r="H703" s="150"/>
      <c r="I703" s="150"/>
      <c r="J703" s="150"/>
      <c r="K703" s="150"/>
      <c r="L703" s="150"/>
      <c r="M703" s="150"/>
      <c r="N703" s="150"/>
      <c r="O703" s="150"/>
      <c r="P703" s="150"/>
      <c r="Q703" s="150"/>
      <c r="R703" s="150"/>
      <c r="S703" s="150"/>
      <c r="T703" s="150"/>
      <c r="U703" s="150"/>
      <c r="V703" s="150"/>
      <c r="W703" s="150"/>
      <c r="X703" s="150"/>
    </row>
    <row r="704">
      <c r="A704" s="150"/>
      <c r="B704" s="182"/>
      <c r="C704" s="217"/>
      <c r="D704" s="150"/>
      <c r="E704" s="150"/>
      <c r="F704" s="150"/>
      <c r="G704" s="150"/>
      <c r="H704" s="150"/>
      <c r="I704" s="150"/>
      <c r="J704" s="150"/>
      <c r="K704" s="150"/>
      <c r="L704" s="150"/>
      <c r="M704" s="150"/>
      <c r="N704" s="150"/>
      <c r="O704" s="150"/>
      <c r="P704" s="150"/>
      <c r="Q704" s="150"/>
      <c r="R704" s="150"/>
      <c r="S704" s="150"/>
      <c r="T704" s="150"/>
      <c r="U704" s="150"/>
      <c r="V704" s="150"/>
      <c r="W704" s="150"/>
      <c r="X704" s="150"/>
    </row>
    <row r="705">
      <c r="A705" s="150"/>
      <c r="B705" s="182"/>
      <c r="C705" s="217"/>
      <c r="D705" s="150"/>
      <c r="E705" s="150"/>
      <c r="F705" s="150"/>
      <c r="G705" s="150"/>
      <c r="H705" s="150"/>
      <c r="I705" s="150"/>
      <c r="J705" s="150"/>
      <c r="K705" s="150"/>
      <c r="L705" s="150"/>
      <c r="M705" s="150"/>
      <c r="N705" s="150"/>
      <c r="O705" s="150"/>
      <c r="P705" s="150"/>
      <c r="Q705" s="150"/>
      <c r="R705" s="150"/>
      <c r="S705" s="150"/>
      <c r="T705" s="150"/>
      <c r="U705" s="150"/>
      <c r="V705" s="150"/>
      <c r="W705" s="150"/>
      <c r="X705" s="150"/>
    </row>
    <row r="706">
      <c r="A706" s="150"/>
      <c r="B706" s="182"/>
      <c r="C706" s="217"/>
      <c r="D706" s="150"/>
      <c r="E706" s="150"/>
      <c r="F706" s="150"/>
      <c r="G706" s="150"/>
      <c r="H706" s="150"/>
      <c r="I706" s="150"/>
      <c r="J706" s="150"/>
      <c r="K706" s="150"/>
      <c r="L706" s="150"/>
      <c r="M706" s="150"/>
      <c r="N706" s="150"/>
      <c r="O706" s="150"/>
      <c r="P706" s="150"/>
      <c r="Q706" s="150"/>
      <c r="R706" s="150"/>
      <c r="S706" s="150"/>
      <c r="T706" s="150"/>
      <c r="U706" s="150"/>
      <c r="V706" s="150"/>
      <c r="W706" s="150"/>
      <c r="X706" s="150"/>
    </row>
    <row r="707">
      <c r="A707" s="150"/>
      <c r="B707" s="182"/>
      <c r="C707" s="217"/>
      <c r="D707" s="150"/>
      <c r="E707" s="150"/>
      <c r="F707" s="150"/>
      <c r="G707" s="150"/>
      <c r="H707" s="150"/>
      <c r="I707" s="150"/>
      <c r="J707" s="150"/>
      <c r="K707" s="150"/>
      <c r="L707" s="150"/>
      <c r="M707" s="150"/>
      <c r="N707" s="150"/>
      <c r="O707" s="150"/>
      <c r="P707" s="150"/>
      <c r="Q707" s="150"/>
      <c r="R707" s="150"/>
      <c r="S707" s="150"/>
      <c r="T707" s="150"/>
      <c r="U707" s="150"/>
      <c r="V707" s="150"/>
      <c r="W707" s="150"/>
      <c r="X707" s="150"/>
    </row>
    <row r="708">
      <c r="A708" s="150"/>
      <c r="B708" s="182"/>
      <c r="C708" s="217"/>
      <c r="D708" s="150"/>
      <c r="E708" s="150"/>
      <c r="F708" s="150"/>
      <c r="G708" s="150"/>
      <c r="H708" s="150"/>
      <c r="I708" s="150"/>
      <c r="J708" s="150"/>
      <c r="K708" s="150"/>
      <c r="L708" s="150"/>
      <c r="M708" s="150"/>
      <c r="N708" s="150"/>
      <c r="O708" s="150"/>
      <c r="P708" s="150"/>
      <c r="Q708" s="150"/>
      <c r="R708" s="150"/>
      <c r="S708" s="150"/>
      <c r="T708" s="150"/>
      <c r="U708" s="150"/>
      <c r="V708" s="150"/>
      <c r="W708" s="150"/>
      <c r="X708" s="150"/>
    </row>
    <row r="709">
      <c r="A709" s="150"/>
      <c r="B709" s="182"/>
      <c r="C709" s="217"/>
      <c r="D709" s="150"/>
      <c r="E709" s="150"/>
      <c r="F709" s="150"/>
      <c r="G709" s="150"/>
      <c r="H709" s="150"/>
      <c r="I709" s="150"/>
      <c r="J709" s="150"/>
      <c r="K709" s="150"/>
      <c r="L709" s="150"/>
      <c r="M709" s="150"/>
      <c r="N709" s="150"/>
      <c r="O709" s="150"/>
      <c r="P709" s="150"/>
      <c r="Q709" s="150"/>
      <c r="R709" s="150"/>
      <c r="S709" s="150"/>
      <c r="T709" s="150"/>
      <c r="U709" s="150"/>
      <c r="V709" s="150"/>
      <c r="W709" s="150"/>
      <c r="X709" s="150"/>
    </row>
    <row r="710">
      <c r="A710" s="150"/>
      <c r="B710" s="182"/>
      <c r="C710" s="217"/>
      <c r="D710" s="150"/>
      <c r="E710" s="150"/>
      <c r="F710" s="150"/>
      <c r="G710" s="150"/>
      <c r="H710" s="150"/>
      <c r="I710" s="150"/>
      <c r="J710" s="150"/>
      <c r="K710" s="150"/>
      <c r="L710" s="150"/>
      <c r="M710" s="150"/>
      <c r="N710" s="150"/>
      <c r="O710" s="150"/>
      <c r="P710" s="150"/>
      <c r="Q710" s="150"/>
      <c r="R710" s="150"/>
      <c r="S710" s="150"/>
      <c r="T710" s="150"/>
      <c r="U710" s="150"/>
      <c r="V710" s="150"/>
      <c r="W710" s="150"/>
      <c r="X710" s="150"/>
    </row>
    <row r="711">
      <c r="A711" s="150"/>
      <c r="B711" s="182"/>
      <c r="C711" s="217"/>
      <c r="D711" s="150"/>
      <c r="E711" s="150"/>
      <c r="F711" s="150"/>
      <c r="G711" s="150"/>
      <c r="H711" s="150"/>
      <c r="I711" s="150"/>
      <c r="J711" s="150"/>
      <c r="K711" s="150"/>
      <c r="L711" s="150"/>
      <c r="M711" s="150"/>
      <c r="N711" s="150"/>
      <c r="O711" s="150"/>
      <c r="P711" s="150"/>
      <c r="Q711" s="150"/>
      <c r="R711" s="150"/>
      <c r="S711" s="150"/>
      <c r="T711" s="150"/>
      <c r="U711" s="150"/>
      <c r="V711" s="150"/>
      <c r="W711" s="150"/>
      <c r="X711" s="150"/>
    </row>
    <row r="712">
      <c r="A712" s="150"/>
      <c r="B712" s="182"/>
      <c r="C712" s="217"/>
      <c r="D712" s="150"/>
      <c r="E712" s="150"/>
      <c r="F712" s="150"/>
      <c r="G712" s="150"/>
      <c r="H712" s="150"/>
      <c r="I712" s="150"/>
      <c r="J712" s="150"/>
      <c r="K712" s="150"/>
      <c r="L712" s="150"/>
      <c r="M712" s="150"/>
      <c r="N712" s="150"/>
      <c r="O712" s="150"/>
      <c r="P712" s="150"/>
      <c r="Q712" s="150"/>
      <c r="R712" s="150"/>
      <c r="S712" s="150"/>
      <c r="T712" s="150"/>
      <c r="U712" s="150"/>
      <c r="V712" s="150"/>
      <c r="W712" s="150"/>
      <c r="X712" s="150"/>
    </row>
    <row r="713">
      <c r="A713" s="150"/>
      <c r="B713" s="182"/>
      <c r="C713" s="217"/>
      <c r="D713" s="150"/>
      <c r="E713" s="150"/>
      <c r="F713" s="150"/>
      <c r="G713" s="150"/>
      <c r="H713" s="150"/>
      <c r="I713" s="150"/>
      <c r="J713" s="150"/>
      <c r="K713" s="150"/>
      <c r="L713" s="150"/>
      <c r="M713" s="150"/>
      <c r="N713" s="150"/>
      <c r="O713" s="150"/>
      <c r="P713" s="150"/>
      <c r="Q713" s="150"/>
      <c r="R713" s="150"/>
      <c r="S713" s="150"/>
      <c r="T713" s="150"/>
      <c r="U713" s="150"/>
      <c r="V713" s="150"/>
      <c r="W713" s="150"/>
      <c r="X713" s="150"/>
    </row>
    <row r="714">
      <c r="A714" s="150"/>
      <c r="B714" s="182"/>
      <c r="C714" s="217"/>
      <c r="D714" s="150"/>
      <c r="E714" s="150"/>
      <c r="F714" s="150"/>
      <c r="G714" s="150"/>
      <c r="H714" s="150"/>
      <c r="I714" s="150"/>
      <c r="J714" s="150"/>
      <c r="K714" s="150"/>
      <c r="L714" s="150"/>
      <c r="M714" s="150"/>
      <c r="N714" s="150"/>
      <c r="O714" s="150"/>
      <c r="P714" s="150"/>
      <c r="Q714" s="150"/>
      <c r="R714" s="150"/>
      <c r="S714" s="150"/>
      <c r="T714" s="150"/>
      <c r="U714" s="150"/>
      <c r="V714" s="150"/>
      <c r="W714" s="150"/>
      <c r="X714" s="150"/>
    </row>
    <row r="715">
      <c r="A715" s="150"/>
      <c r="B715" s="182"/>
      <c r="C715" s="217"/>
      <c r="D715" s="150"/>
      <c r="E715" s="150"/>
      <c r="F715" s="150"/>
      <c r="G715" s="150"/>
      <c r="H715" s="150"/>
      <c r="I715" s="150"/>
      <c r="J715" s="150"/>
      <c r="K715" s="150"/>
      <c r="L715" s="150"/>
      <c r="M715" s="150"/>
      <c r="N715" s="150"/>
      <c r="O715" s="150"/>
      <c r="P715" s="150"/>
      <c r="Q715" s="150"/>
      <c r="R715" s="150"/>
      <c r="S715" s="150"/>
      <c r="T715" s="150"/>
      <c r="U715" s="150"/>
      <c r="V715" s="150"/>
      <c r="W715" s="150"/>
      <c r="X715" s="150"/>
    </row>
    <row r="716">
      <c r="A716" s="150"/>
      <c r="B716" s="182"/>
      <c r="C716" s="217"/>
      <c r="D716" s="150"/>
      <c r="E716" s="150"/>
      <c r="F716" s="150"/>
      <c r="G716" s="150"/>
      <c r="H716" s="150"/>
      <c r="I716" s="150"/>
      <c r="J716" s="150"/>
      <c r="K716" s="150"/>
      <c r="L716" s="150"/>
      <c r="M716" s="150"/>
      <c r="N716" s="150"/>
      <c r="O716" s="150"/>
      <c r="P716" s="150"/>
      <c r="Q716" s="150"/>
      <c r="R716" s="150"/>
      <c r="S716" s="150"/>
      <c r="T716" s="150"/>
      <c r="U716" s="150"/>
      <c r="V716" s="150"/>
      <c r="W716" s="150"/>
      <c r="X716" s="150"/>
    </row>
    <row r="717">
      <c r="A717" s="150"/>
      <c r="B717" s="182"/>
      <c r="C717" s="217"/>
      <c r="D717" s="150"/>
      <c r="E717" s="150"/>
      <c r="F717" s="150"/>
      <c r="G717" s="150"/>
      <c r="H717" s="150"/>
      <c r="I717" s="150"/>
      <c r="J717" s="150"/>
      <c r="K717" s="150"/>
      <c r="L717" s="150"/>
      <c r="M717" s="150"/>
      <c r="N717" s="150"/>
      <c r="O717" s="150"/>
      <c r="P717" s="150"/>
      <c r="Q717" s="150"/>
      <c r="R717" s="150"/>
      <c r="S717" s="150"/>
      <c r="T717" s="150"/>
      <c r="U717" s="150"/>
      <c r="V717" s="150"/>
      <c r="W717" s="150"/>
      <c r="X717" s="150"/>
    </row>
    <row r="718">
      <c r="A718" s="150"/>
      <c r="B718" s="182"/>
      <c r="C718" s="217"/>
      <c r="D718" s="150"/>
      <c r="E718" s="150"/>
      <c r="F718" s="150"/>
      <c r="G718" s="150"/>
      <c r="H718" s="150"/>
      <c r="I718" s="150"/>
      <c r="J718" s="150"/>
      <c r="K718" s="150"/>
      <c r="L718" s="150"/>
      <c r="M718" s="150"/>
      <c r="N718" s="150"/>
      <c r="O718" s="150"/>
      <c r="P718" s="150"/>
      <c r="Q718" s="150"/>
      <c r="R718" s="150"/>
      <c r="S718" s="150"/>
      <c r="T718" s="150"/>
      <c r="U718" s="150"/>
      <c r="V718" s="150"/>
      <c r="W718" s="150"/>
      <c r="X718" s="150"/>
    </row>
    <row r="719">
      <c r="A719" s="150"/>
      <c r="B719" s="182"/>
      <c r="C719" s="217"/>
      <c r="D719" s="150"/>
      <c r="E719" s="150"/>
      <c r="F719" s="150"/>
      <c r="G719" s="150"/>
      <c r="H719" s="150"/>
      <c r="I719" s="150"/>
      <c r="J719" s="150"/>
      <c r="K719" s="150"/>
      <c r="L719" s="150"/>
      <c r="M719" s="150"/>
      <c r="N719" s="150"/>
      <c r="O719" s="150"/>
      <c r="P719" s="150"/>
      <c r="Q719" s="150"/>
      <c r="R719" s="150"/>
      <c r="S719" s="150"/>
      <c r="T719" s="150"/>
      <c r="U719" s="150"/>
      <c r="V719" s="150"/>
      <c r="W719" s="150"/>
      <c r="X719" s="150"/>
    </row>
    <row r="720">
      <c r="A720" s="150"/>
      <c r="B720" s="182"/>
      <c r="C720" s="217"/>
      <c r="D720" s="150"/>
      <c r="E720" s="150"/>
      <c r="F720" s="150"/>
      <c r="G720" s="150"/>
      <c r="H720" s="150"/>
      <c r="I720" s="150"/>
      <c r="J720" s="150"/>
      <c r="K720" s="150"/>
      <c r="L720" s="150"/>
      <c r="M720" s="150"/>
      <c r="N720" s="150"/>
      <c r="O720" s="150"/>
      <c r="P720" s="150"/>
      <c r="Q720" s="150"/>
      <c r="R720" s="150"/>
      <c r="S720" s="150"/>
      <c r="T720" s="150"/>
      <c r="U720" s="150"/>
      <c r="V720" s="150"/>
      <c r="W720" s="150"/>
      <c r="X720" s="150"/>
    </row>
    <row r="721">
      <c r="A721" s="150"/>
      <c r="B721" s="182"/>
      <c r="C721" s="217"/>
      <c r="D721" s="150"/>
      <c r="E721" s="150"/>
      <c r="F721" s="150"/>
      <c r="G721" s="150"/>
      <c r="H721" s="150"/>
      <c r="I721" s="150"/>
      <c r="J721" s="150"/>
      <c r="K721" s="150"/>
      <c r="L721" s="150"/>
      <c r="M721" s="150"/>
      <c r="N721" s="150"/>
      <c r="O721" s="150"/>
      <c r="P721" s="150"/>
      <c r="Q721" s="150"/>
      <c r="R721" s="150"/>
      <c r="S721" s="150"/>
      <c r="T721" s="150"/>
      <c r="U721" s="150"/>
      <c r="V721" s="150"/>
      <c r="W721" s="150"/>
      <c r="X721" s="150"/>
    </row>
    <row r="722">
      <c r="A722" s="150"/>
      <c r="B722" s="182"/>
      <c r="C722" s="217"/>
      <c r="D722" s="150"/>
      <c r="E722" s="150"/>
      <c r="F722" s="150"/>
      <c r="G722" s="150"/>
      <c r="H722" s="150"/>
      <c r="I722" s="150"/>
      <c r="J722" s="150"/>
      <c r="K722" s="150"/>
      <c r="L722" s="150"/>
      <c r="M722" s="150"/>
      <c r="N722" s="150"/>
      <c r="O722" s="150"/>
      <c r="P722" s="150"/>
      <c r="Q722" s="150"/>
      <c r="R722" s="150"/>
      <c r="S722" s="150"/>
      <c r="T722" s="150"/>
      <c r="U722" s="150"/>
      <c r="V722" s="150"/>
      <c r="W722" s="150"/>
      <c r="X722" s="150"/>
    </row>
    <row r="723">
      <c r="A723" s="150"/>
      <c r="B723" s="182"/>
      <c r="C723" s="217"/>
      <c r="D723" s="150"/>
      <c r="E723" s="150"/>
      <c r="F723" s="150"/>
      <c r="G723" s="150"/>
      <c r="H723" s="150"/>
      <c r="I723" s="150"/>
      <c r="J723" s="150"/>
      <c r="K723" s="150"/>
      <c r="L723" s="150"/>
      <c r="M723" s="150"/>
      <c r="N723" s="150"/>
      <c r="O723" s="150"/>
      <c r="P723" s="150"/>
      <c r="Q723" s="150"/>
      <c r="R723" s="150"/>
      <c r="S723" s="150"/>
      <c r="T723" s="150"/>
      <c r="U723" s="150"/>
      <c r="V723" s="150"/>
      <c r="W723" s="150"/>
      <c r="X723" s="150"/>
    </row>
    <row r="724">
      <c r="A724" s="150"/>
      <c r="B724" s="182"/>
      <c r="C724" s="217"/>
      <c r="D724" s="150"/>
      <c r="E724" s="150"/>
      <c r="F724" s="150"/>
      <c r="G724" s="150"/>
      <c r="H724" s="150"/>
      <c r="I724" s="150"/>
      <c r="J724" s="150"/>
      <c r="K724" s="150"/>
      <c r="L724" s="150"/>
      <c r="M724" s="150"/>
      <c r="N724" s="150"/>
      <c r="O724" s="150"/>
      <c r="P724" s="150"/>
      <c r="Q724" s="150"/>
      <c r="R724" s="150"/>
      <c r="S724" s="150"/>
      <c r="T724" s="150"/>
      <c r="U724" s="150"/>
      <c r="V724" s="150"/>
      <c r="W724" s="150"/>
      <c r="X724" s="150"/>
    </row>
    <row r="725">
      <c r="A725" s="150"/>
      <c r="B725" s="182"/>
      <c r="C725" s="217"/>
      <c r="D725" s="150"/>
      <c r="E725" s="150"/>
      <c r="F725" s="150"/>
      <c r="G725" s="150"/>
      <c r="H725" s="150"/>
      <c r="I725" s="150"/>
      <c r="J725" s="150"/>
      <c r="K725" s="150"/>
      <c r="L725" s="150"/>
      <c r="M725" s="150"/>
      <c r="N725" s="150"/>
      <c r="O725" s="150"/>
      <c r="P725" s="150"/>
      <c r="Q725" s="150"/>
      <c r="R725" s="150"/>
      <c r="S725" s="150"/>
      <c r="T725" s="150"/>
      <c r="U725" s="150"/>
      <c r="V725" s="150"/>
      <c r="W725" s="150"/>
      <c r="X725" s="150"/>
    </row>
    <row r="726">
      <c r="A726" s="150"/>
      <c r="B726" s="182"/>
      <c r="C726" s="217"/>
      <c r="D726" s="150"/>
      <c r="E726" s="150"/>
      <c r="F726" s="150"/>
      <c r="G726" s="150"/>
      <c r="H726" s="150"/>
      <c r="I726" s="150"/>
      <c r="J726" s="150"/>
      <c r="K726" s="150"/>
      <c r="L726" s="150"/>
      <c r="M726" s="150"/>
      <c r="N726" s="150"/>
      <c r="O726" s="150"/>
      <c r="P726" s="150"/>
      <c r="Q726" s="150"/>
      <c r="R726" s="150"/>
      <c r="S726" s="150"/>
      <c r="T726" s="150"/>
      <c r="U726" s="150"/>
      <c r="V726" s="150"/>
      <c r="W726" s="150"/>
      <c r="X726" s="150"/>
    </row>
    <row r="727">
      <c r="A727" s="150"/>
      <c r="B727" s="182"/>
      <c r="C727" s="217"/>
      <c r="D727" s="150"/>
      <c r="E727" s="150"/>
      <c r="F727" s="150"/>
      <c r="G727" s="150"/>
      <c r="H727" s="150"/>
      <c r="I727" s="150"/>
      <c r="J727" s="150"/>
      <c r="K727" s="150"/>
      <c r="L727" s="150"/>
      <c r="M727" s="150"/>
      <c r="N727" s="150"/>
      <c r="O727" s="150"/>
      <c r="P727" s="150"/>
      <c r="Q727" s="150"/>
      <c r="R727" s="150"/>
      <c r="S727" s="150"/>
      <c r="T727" s="150"/>
      <c r="U727" s="150"/>
      <c r="V727" s="150"/>
      <c r="W727" s="150"/>
      <c r="X727" s="150"/>
    </row>
    <row r="728">
      <c r="A728" s="150"/>
      <c r="B728" s="182"/>
      <c r="C728" s="217"/>
      <c r="D728" s="150"/>
      <c r="E728" s="150"/>
      <c r="F728" s="150"/>
      <c r="G728" s="150"/>
      <c r="H728" s="150"/>
      <c r="I728" s="150"/>
      <c r="J728" s="150"/>
      <c r="K728" s="150"/>
      <c r="L728" s="150"/>
      <c r="M728" s="150"/>
      <c r="N728" s="150"/>
      <c r="O728" s="150"/>
      <c r="P728" s="150"/>
      <c r="Q728" s="150"/>
      <c r="R728" s="150"/>
      <c r="S728" s="150"/>
      <c r="T728" s="150"/>
      <c r="U728" s="150"/>
      <c r="V728" s="150"/>
      <c r="W728" s="150"/>
      <c r="X728" s="150"/>
    </row>
    <row r="729">
      <c r="A729" s="150"/>
      <c r="B729" s="182"/>
      <c r="C729" s="217"/>
      <c r="D729" s="150"/>
      <c r="E729" s="150"/>
      <c r="F729" s="150"/>
      <c r="G729" s="150"/>
      <c r="H729" s="150"/>
      <c r="I729" s="150"/>
      <c r="J729" s="150"/>
      <c r="K729" s="150"/>
      <c r="L729" s="150"/>
      <c r="M729" s="150"/>
      <c r="N729" s="150"/>
      <c r="O729" s="150"/>
      <c r="P729" s="150"/>
      <c r="Q729" s="150"/>
      <c r="R729" s="150"/>
      <c r="S729" s="150"/>
      <c r="T729" s="150"/>
      <c r="U729" s="150"/>
      <c r="V729" s="150"/>
      <c r="W729" s="150"/>
      <c r="X729" s="150"/>
    </row>
    <row r="730">
      <c r="A730" s="150"/>
      <c r="B730" s="182"/>
      <c r="C730" s="217"/>
      <c r="D730" s="150"/>
      <c r="E730" s="150"/>
      <c r="F730" s="150"/>
      <c r="G730" s="150"/>
      <c r="H730" s="150"/>
      <c r="I730" s="150"/>
      <c r="J730" s="150"/>
      <c r="K730" s="150"/>
      <c r="L730" s="150"/>
      <c r="M730" s="150"/>
      <c r="N730" s="150"/>
      <c r="O730" s="150"/>
      <c r="P730" s="150"/>
      <c r="Q730" s="150"/>
      <c r="R730" s="150"/>
      <c r="S730" s="150"/>
      <c r="T730" s="150"/>
      <c r="U730" s="150"/>
      <c r="V730" s="150"/>
      <c r="W730" s="150"/>
      <c r="X730" s="150"/>
    </row>
    <row r="731">
      <c r="A731" s="150"/>
      <c r="B731" s="182"/>
      <c r="C731" s="217"/>
      <c r="D731" s="150"/>
      <c r="E731" s="150"/>
      <c r="F731" s="150"/>
      <c r="G731" s="150"/>
      <c r="H731" s="150"/>
      <c r="I731" s="150"/>
      <c r="J731" s="150"/>
      <c r="K731" s="150"/>
      <c r="L731" s="150"/>
      <c r="M731" s="150"/>
      <c r="N731" s="150"/>
      <c r="O731" s="150"/>
      <c r="P731" s="150"/>
      <c r="Q731" s="150"/>
      <c r="R731" s="150"/>
      <c r="S731" s="150"/>
      <c r="T731" s="150"/>
      <c r="U731" s="150"/>
      <c r="V731" s="150"/>
      <c r="W731" s="150"/>
      <c r="X731" s="150"/>
    </row>
    <row r="732">
      <c r="A732" s="150"/>
      <c r="B732" s="182"/>
      <c r="C732" s="217"/>
      <c r="D732" s="150"/>
      <c r="E732" s="150"/>
      <c r="F732" s="150"/>
      <c r="G732" s="150"/>
      <c r="H732" s="150"/>
      <c r="I732" s="150"/>
      <c r="J732" s="150"/>
      <c r="K732" s="150"/>
      <c r="L732" s="150"/>
      <c r="M732" s="150"/>
      <c r="N732" s="150"/>
      <c r="O732" s="150"/>
      <c r="P732" s="150"/>
      <c r="Q732" s="150"/>
      <c r="R732" s="150"/>
      <c r="S732" s="150"/>
      <c r="T732" s="150"/>
      <c r="U732" s="150"/>
      <c r="V732" s="150"/>
      <c r="W732" s="150"/>
      <c r="X732" s="150"/>
    </row>
    <row r="733">
      <c r="A733" s="150"/>
      <c r="B733" s="182"/>
      <c r="C733" s="217"/>
      <c r="D733" s="150"/>
      <c r="E733" s="150"/>
      <c r="F733" s="150"/>
      <c r="G733" s="150"/>
      <c r="H733" s="150"/>
      <c r="I733" s="150"/>
      <c r="J733" s="150"/>
      <c r="K733" s="150"/>
      <c r="L733" s="150"/>
      <c r="M733" s="150"/>
      <c r="N733" s="150"/>
      <c r="O733" s="150"/>
      <c r="P733" s="150"/>
      <c r="Q733" s="150"/>
      <c r="R733" s="150"/>
      <c r="S733" s="150"/>
      <c r="T733" s="150"/>
      <c r="U733" s="150"/>
      <c r="V733" s="150"/>
      <c r="W733" s="150"/>
      <c r="X733" s="150"/>
    </row>
    <row r="734">
      <c r="A734" s="150"/>
      <c r="B734" s="182"/>
      <c r="C734" s="217"/>
      <c r="D734" s="150"/>
      <c r="E734" s="150"/>
      <c r="F734" s="150"/>
      <c r="G734" s="150"/>
      <c r="H734" s="150"/>
      <c r="I734" s="150"/>
      <c r="J734" s="150"/>
      <c r="K734" s="150"/>
      <c r="L734" s="150"/>
      <c r="M734" s="150"/>
      <c r="N734" s="150"/>
      <c r="O734" s="150"/>
      <c r="P734" s="150"/>
      <c r="Q734" s="150"/>
      <c r="R734" s="150"/>
      <c r="S734" s="150"/>
      <c r="T734" s="150"/>
      <c r="U734" s="150"/>
      <c r="V734" s="150"/>
      <c r="W734" s="150"/>
      <c r="X734" s="150"/>
    </row>
    <row r="735">
      <c r="A735" s="150"/>
      <c r="B735" s="182"/>
      <c r="C735" s="217"/>
      <c r="D735" s="150"/>
      <c r="E735" s="150"/>
      <c r="F735" s="150"/>
      <c r="G735" s="150"/>
      <c r="H735" s="150"/>
      <c r="I735" s="150"/>
      <c r="J735" s="150"/>
      <c r="K735" s="150"/>
      <c r="L735" s="150"/>
      <c r="M735" s="150"/>
      <c r="N735" s="150"/>
      <c r="O735" s="150"/>
      <c r="P735" s="150"/>
      <c r="Q735" s="150"/>
      <c r="R735" s="150"/>
      <c r="S735" s="150"/>
      <c r="T735" s="150"/>
      <c r="U735" s="150"/>
      <c r="V735" s="150"/>
      <c r="W735" s="150"/>
      <c r="X735" s="150"/>
    </row>
    <row r="736">
      <c r="A736" s="150"/>
      <c r="B736" s="182"/>
      <c r="C736" s="217"/>
      <c r="D736" s="150"/>
      <c r="E736" s="150"/>
      <c r="F736" s="150"/>
      <c r="G736" s="150"/>
      <c r="H736" s="150"/>
      <c r="I736" s="150"/>
      <c r="J736" s="150"/>
      <c r="K736" s="150"/>
      <c r="L736" s="150"/>
      <c r="M736" s="150"/>
      <c r="N736" s="150"/>
      <c r="O736" s="150"/>
      <c r="P736" s="150"/>
      <c r="Q736" s="150"/>
      <c r="R736" s="150"/>
      <c r="S736" s="150"/>
      <c r="T736" s="150"/>
      <c r="U736" s="150"/>
      <c r="V736" s="150"/>
      <c r="W736" s="150"/>
      <c r="X736" s="150"/>
    </row>
    <row r="737">
      <c r="A737" s="150"/>
      <c r="B737" s="182"/>
      <c r="C737" s="217"/>
      <c r="D737" s="150"/>
      <c r="E737" s="150"/>
      <c r="F737" s="150"/>
      <c r="G737" s="150"/>
      <c r="H737" s="150"/>
      <c r="I737" s="150"/>
      <c r="J737" s="150"/>
      <c r="K737" s="150"/>
      <c r="L737" s="150"/>
      <c r="M737" s="150"/>
      <c r="N737" s="150"/>
      <c r="O737" s="150"/>
      <c r="P737" s="150"/>
      <c r="Q737" s="150"/>
      <c r="R737" s="150"/>
      <c r="S737" s="150"/>
      <c r="T737" s="150"/>
      <c r="U737" s="150"/>
      <c r="V737" s="150"/>
      <c r="W737" s="150"/>
      <c r="X737" s="150"/>
    </row>
    <row r="738">
      <c r="A738" s="150"/>
      <c r="B738" s="182"/>
      <c r="C738" s="217"/>
      <c r="D738" s="150"/>
      <c r="E738" s="150"/>
      <c r="F738" s="150"/>
      <c r="G738" s="150"/>
      <c r="H738" s="150"/>
      <c r="I738" s="150"/>
      <c r="J738" s="150"/>
      <c r="K738" s="150"/>
      <c r="L738" s="150"/>
      <c r="M738" s="150"/>
      <c r="N738" s="150"/>
      <c r="O738" s="150"/>
      <c r="P738" s="150"/>
      <c r="Q738" s="150"/>
      <c r="R738" s="150"/>
      <c r="S738" s="150"/>
      <c r="T738" s="150"/>
      <c r="U738" s="150"/>
      <c r="V738" s="150"/>
      <c r="W738" s="150"/>
      <c r="X738" s="150"/>
    </row>
    <row r="739">
      <c r="A739" s="150"/>
      <c r="B739" s="182"/>
      <c r="C739" s="217"/>
      <c r="D739" s="150"/>
      <c r="E739" s="150"/>
      <c r="F739" s="150"/>
      <c r="G739" s="150"/>
      <c r="H739" s="150"/>
      <c r="I739" s="150"/>
      <c r="J739" s="150"/>
      <c r="K739" s="150"/>
      <c r="L739" s="150"/>
      <c r="M739" s="150"/>
      <c r="N739" s="150"/>
      <c r="O739" s="150"/>
      <c r="P739" s="150"/>
      <c r="Q739" s="150"/>
      <c r="R739" s="150"/>
      <c r="S739" s="150"/>
      <c r="T739" s="150"/>
      <c r="U739" s="150"/>
      <c r="V739" s="150"/>
      <c r="W739" s="150"/>
      <c r="X739" s="150"/>
    </row>
    <row r="740">
      <c r="A740" s="150"/>
      <c r="B740" s="182"/>
      <c r="C740" s="217"/>
      <c r="D740" s="150"/>
      <c r="E740" s="150"/>
      <c r="F740" s="150"/>
      <c r="G740" s="150"/>
      <c r="H740" s="150"/>
      <c r="I740" s="150"/>
      <c r="J740" s="150"/>
      <c r="K740" s="150"/>
      <c r="L740" s="150"/>
      <c r="M740" s="150"/>
      <c r="N740" s="150"/>
      <c r="O740" s="150"/>
      <c r="P740" s="150"/>
      <c r="Q740" s="150"/>
      <c r="R740" s="150"/>
      <c r="S740" s="150"/>
      <c r="T740" s="150"/>
      <c r="U740" s="150"/>
      <c r="V740" s="150"/>
      <c r="W740" s="150"/>
      <c r="X740" s="150"/>
    </row>
    <row r="741">
      <c r="A741" s="150"/>
      <c r="B741" s="182"/>
      <c r="C741" s="217"/>
      <c r="D741" s="150"/>
      <c r="E741" s="150"/>
      <c r="F741" s="150"/>
      <c r="G741" s="150"/>
      <c r="H741" s="150"/>
      <c r="I741" s="150"/>
      <c r="J741" s="150"/>
      <c r="K741" s="150"/>
      <c r="L741" s="150"/>
      <c r="M741" s="150"/>
      <c r="N741" s="150"/>
      <c r="O741" s="150"/>
      <c r="P741" s="150"/>
      <c r="Q741" s="150"/>
      <c r="R741" s="150"/>
      <c r="S741" s="150"/>
      <c r="T741" s="150"/>
      <c r="U741" s="150"/>
      <c r="V741" s="150"/>
      <c r="W741" s="150"/>
      <c r="X741" s="150"/>
    </row>
    <row r="742">
      <c r="A742" s="150"/>
      <c r="B742" s="182"/>
      <c r="C742" s="217"/>
      <c r="D742" s="150"/>
      <c r="E742" s="150"/>
      <c r="F742" s="150"/>
      <c r="G742" s="150"/>
      <c r="H742" s="150"/>
      <c r="I742" s="150"/>
      <c r="J742" s="150"/>
      <c r="K742" s="150"/>
      <c r="L742" s="150"/>
      <c r="M742" s="150"/>
      <c r="N742" s="150"/>
      <c r="O742" s="150"/>
      <c r="P742" s="150"/>
      <c r="Q742" s="150"/>
      <c r="R742" s="150"/>
      <c r="S742" s="150"/>
      <c r="T742" s="150"/>
      <c r="U742" s="150"/>
      <c r="V742" s="150"/>
      <c r="W742" s="150"/>
      <c r="X742" s="150"/>
    </row>
    <row r="743">
      <c r="A743" s="150"/>
      <c r="B743" s="182"/>
      <c r="C743" s="217"/>
      <c r="D743" s="150"/>
      <c r="E743" s="150"/>
      <c r="F743" s="150"/>
      <c r="G743" s="150"/>
      <c r="H743" s="150"/>
      <c r="I743" s="150"/>
      <c r="J743" s="150"/>
      <c r="K743" s="150"/>
      <c r="L743" s="150"/>
      <c r="M743" s="150"/>
      <c r="N743" s="150"/>
      <c r="O743" s="150"/>
      <c r="P743" s="150"/>
      <c r="Q743" s="150"/>
      <c r="R743" s="150"/>
      <c r="S743" s="150"/>
      <c r="T743" s="150"/>
      <c r="U743" s="150"/>
      <c r="V743" s="150"/>
      <c r="W743" s="150"/>
      <c r="X743" s="150"/>
    </row>
    <row r="744">
      <c r="A744" s="150"/>
      <c r="B744" s="182"/>
      <c r="C744" s="217"/>
      <c r="D744" s="150"/>
      <c r="E744" s="150"/>
      <c r="F744" s="150"/>
      <c r="G744" s="150"/>
      <c r="H744" s="150"/>
      <c r="I744" s="150"/>
      <c r="J744" s="150"/>
      <c r="K744" s="150"/>
      <c r="L744" s="150"/>
      <c r="M744" s="150"/>
      <c r="N744" s="150"/>
      <c r="O744" s="150"/>
      <c r="P744" s="150"/>
      <c r="Q744" s="150"/>
      <c r="R744" s="150"/>
      <c r="S744" s="150"/>
      <c r="T744" s="150"/>
      <c r="U744" s="150"/>
      <c r="V744" s="150"/>
      <c r="W744" s="150"/>
      <c r="X744" s="150"/>
    </row>
    <row r="745">
      <c r="A745" s="150"/>
      <c r="B745" s="182"/>
      <c r="C745" s="217"/>
      <c r="D745" s="150"/>
      <c r="E745" s="150"/>
      <c r="F745" s="150"/>
      <c r="G745" s="150"/>
      <c r="H745" s="150"/>
      <c r="I745" s="150"/>
      <c r="J745" s="150"/>
      <c r="K745" s="150"/>
      <c r="L745" s="150"/>
      <c r="M745" s="150"/>
      <c r="N745" s="150"/>
      <c r="O745" s="150"/>
      <c r="P745" s="150"/>
      <c r="Q745" s="150"/>
      <c r="R745" s="150"/>
      <c r="S745" s="150"/>
      <c r="T745" s="150"/>
      <c r="U745" s="150"/>
      <c r="V745" s="150"/>
      <c r="W745" s="150"/>
      <c r="X745" s="150"/>
    </row>
    <row r="746">
      <c r="A746" s="150"/>
      <c r="B746" s="182"/>
      <c r="C746" s="217"/>
      <c r="D746" s="150"/>
      <c r="E746" s="150"/>
      <c r="F746" s="150"/>
      <c r="G746" s="150"/>
      <c r="H746" s="150"/>
      <c r="I746" s="150"/>
      <c r="J746" s="150"/>
      <c r="K746" s="150"/>
      <c r="L746" s="150"/>
      <c r="M746" s="150"/>
      <c r="N746" s="150"/>
      <c r="O746" s="150"/>
      <c r="P746" s="150"/>
      <c r="Q746" s="150"/>
      <c r="R746" s="150"/>
      <c r="S746" s="150"/>
      <c r="T746" s="150"/>
      <c r="U746" s="150"/>
      <c r="V746" s="150"/>
      <c r="W746" s="150"/>
      <c r="X746" s="150"/>
    </row>
    <row r="747">
      <c r="A747" s="150"/>
      <c r="B747" s="182"/>
      <c r="C747" s="217"/>
      <c r="D747" s="150"/>
      <c r="E747" s="150"/>
      <c r="F747" s="150"/>
      <c r="G747" s="150"/>
      <c r="H747" s="150"/>
      <c r="I747" s="150"/>
      <c r="J747" s="150"/>
      <c r="K747" s="150"/>
      <c r="L747" s="150"/>
      <c r="M747" s="150"/>
      <c r="N747" s="150"/>
      <c r="O747" s="150"/>
      <c r="P747" s="150"/>
      <c r="Q747" s="150"/>
      <c r="R747" s="150"/>
      <c r="S747" s="150"/>
      <c r="T747" s="150"/>
      <c r="U747" s="150"/>
      <c r="V747" s="150"/>
      <c r="W747" s="150"/>
      <c r="X747" s="150"/>
    </row>
    <row r="748">
      <c r="A748" s="150"/>
      <c r="B748" s="182"/>
      <c r="C748" s="217"/>
      <c r="D748" s="150"/>
      <c r="E748" s="150"/>
      <c r="F748" s="150"/>
      <c r="G748" s="150"/>
      <c r="H748" s="150"/>
      <c r="I748" s="150"/>
      <c r="J748" s="150"/>
      <c r="K748" s="150"/>
      <c r="L748" s="150"/>
      <c r="M748" s="150"/>
      <c r="N748" s="150"/>
      <c r="O748" s="150"/>
      <c r="P748" s="150"/>
      <c r="Q748" s="150"/>
      <c r="R748" s="150"/>
      <c r="S748" s="150"/>
      <c r="T748" s="150"/>
      <c r="U748" s="150"/>
      <c r="V748" s="150"/>
      <c r="W748" s="150"/>
      <c r="X748" s="150"/>
    </row>
    <row r="749">
      <c r="A749" s="150"/>
      <c r="B749" s="182"/>
      <c r="C749" s="217"/>
      <c r="D749" s="150"/>
      <c r="E749" s="150"/>
      <c r="F749" s="150"/>
      <c r="G749" s="150"/>
      <c r="H749" s="150"/>
      <c r="I749" s="150"/>
      <c r="J749" s="150"/>
      <c r="K749" s="150"/>
      <c r="L749" s="150"/>
      <c r="M749" s="150"/>
      <c r="N749" s="150"/>
      <c r="O749" s="150"/>
      <c r="P749" s="150"/>
      <c r="Q749" s="150"/>
      <c r="R749" s="150"/>
      <c r="S749" s="150"/>
      <c r="T749" s="150"/>
      <c r="U749" s="150"/>
      <c r="V749" s="150"/>
      <c r="W749" s="150"/>
      <c r="X749" s="150"/>
    </row>
    <row r="750">
      <c r="A750" s="150"/>
      <c r="B750" s="182"/>
      <c r="C750" s="217"/>
      <c r="D750" s="150"/>
      <c r="E750" s="150"/>
      <c r="F750" s="150"/>
      <c r="G750" s="150"/>
      <c r="H750" s="150"/>
      <c r="I750" s="150"/>
      <c r="J750" s="150"/>
      <c r="K750" s="150"/>
      <c r="L750" s="150"/>
      <c r="M750" s="150"/>
      <c r="N750" s="150"/>
      <c r="O750" s="150"/>
      <c r="P750" s="150"/>
      <c r="Q750" s="150"/>
      <c r="R750" s="150"/>
      <c r="S750" s="150"/>
      <c r="T750" s="150"/>
      <c r="U750" s="150"/>
      <c r="V750" s="150"/>
      <c r="W750" s="150"/>
      <c r="X750" s="150"/>
    </row>
    <row r="751">
      <c r="A751" s="150"/>
      <c r="B751" s="182"/>
      <c r="C751" s="217"/>
      <c r="D751" s="150"/>
      <c r="E751" s="150"/>
      <c r="F751" s="150"/>
      <c r="G751" s="150"/>
      <c r="H751" s="150"/>
      <c r="I751" s="150"/>
      <c r="J751" s="150"/>
      <c r="K751" s="150"/>
      <c r="L751" s="150"/>
      <c r="M751" s="150"/>
      <c r="N751" s="150"/>
      <c r="O751" s="150"/>
      <c r="P751" s="150"/>
      <c r="Q751" s="150"/>
      <c r="R751" s="150"/>
      <c r="S751" s="150"/>
      <c r="T751" s="150"/>
      <c r="U751" s="150"/>
      <c r="V751" s="150"/>
      <c r="W751" s="150"/>
      <c r="X751" s="150"/>
    </row>
    <row r="752">
      <c r="A752" s="150"/>
      <c r="B752" s="182"/>
      <c r="C752" s="217"/>
      <c r="D752" s="150"/>
      <c r="E752" s="150"/>
      <c r="F752" s="150"/>
      <c r="G752" s="150"/>
      <c r="H752" s="150"/>
      <c r="I752" s="150"/>
      <c r="J752" s="150"/>
      <c r="K752" s="150"/>
      <c r="L752" s="150"/>
      <c r="M752" s="150"/>
      <c r="N752" s="150"/>
      <c r="O752" s="150"/>
      <c r="P752" s="150"/>
      <c r="Q752" s="150"/>
      <c r="R752" s="150"/>
      <c r="S752" s="150"/>
      <c r="T752" s="150"/>
      <c r="U752" s="150"/>
      <c r="V752" s="150"/>
      <c r="W752" s="150"/>
      <c r="X752" s="150"/>
    </row>
    <row r="753">
      <c r="A753" s="150"/>
      <c r="B753" s="182"/>
      <c r="C753" s="217"/>
      <c r="D753" s="150"/>
      <c r="E753" s="150"/>
      <c r="F753" s="150"/>
      <c r="G753" s="150"/>
      <c r="H753" s="150"/>
      <c r="I753" s="150"/>
      <c r="J753" s="150"/>
      <c r="K753" s="150"/>
      <c r="L753" s="150"/>
      <c r="M753" s="150"/>
      <c r="N753" s="150"/>
      <c r="O753" s="150"/>
      <c r="P753" s="150"/>
      <c r="Q753" s="150"/>
      <c r="R753" s="150"/>
      <c r="S753" s="150"/>
      <c r="T753" s="150"/>
      <c r="U753" s="150"/>
      <c r="V753" s="150"/>
      <c r="W753" s="150"/>
      <c r="X753" s="150"/>
    </row>
    <row r="754">
      <c r="A754" s="150"/>
      <c r="B754" s="182"/>
      <c r="C754" s="217"/>
      <c r="D754" s="150"/>
      <c r="E754" s="150"/>
      <c r="F754" s="150"/>
      <c r="G754" s="150"/>
      <c r="H754" s="150"/>
      <c r="I754" s="150"/>
      <c r="J754" s="150"/>
      <c r="K754" s="150"/>
      <c r="L754" s="150"/>
      <c r="M754" s="150"/>
      <c r="N754" s="150"/>
      <c r="O754" s="150"/>
      <c r="P754" s="150"/>
      <c r="Q754" s="150"/>
      <c r="R754" s="150"/>
      <c r="S754" s="150"/>
      <c r="T754" s="150"/>
      <c r="U754" s="150"/>
      <c r="V754" s="150"/>
      <c r="W754" s="150"/>
      <c r="X754" s="150"/>
    </row>
    <row r="755">
      <c r="A755" s="150"/>
      <c r="B755" s="182"/>
      <c r="C755" s="217"/>
      <c r="D755" s="150"/>
      <c r="E755" s="150"/>
      <c r="F755" s="150"/>
      <c r="G755" s="150"/>
      <c r="H755" s="150"/>
      <c r="I755" s="150"/>
      <c r="J755" s="150"/>
      <c r="K755" s="150"/>
      <c r="L755" s="150"/>
      <c r="M755" s="150"/>
      <c r="N755" s="150"/>
      <c r="O755" s="150"/>
      <c r="P755" s="150"/>
      <c r="Q755" s="150"/>
      <c r="R755" s="150"/>
      <c r="S755" s="150"/>
      <c r="T755" s="150"/>
      <c r="U755" s="150"/>
      <c r="V755" s="150"/>
      <c r="W755" s="150"/>
      <c r="X755" s="150"/>
    </row>
    <row r="756">
      <c r="A756" s="150"/>
      <c r="B756" s="182"/>
      <c r="C756" s="217"/>
      <c r="D756" s="150"/>
      <c r="E756" s="150"/>
      <c r="F756" s="150"/>
      <c r="G756" s="150"/>
      <c r="H756" s="150"/>
      <c r="I756" s="150"/>
      <c r="J756" s="150"/>
      <c r="K756" s="150"/>
      <c r="L756" s="150"/>
      <c r="M756" s="150"/>
      <c r="N756" s="150"/>
      <c r="O756" s="150"/>
      <c r="P756" s="150"/>
      <c r="Q756" s="150"/>
      <c r="R756" s="150"/>
      <c r="S756" s="150"/>
      <c r="T756" s="150"/>
      <c r="U756" s="150"/>
      <c r="V756" s="150"/>
      <c r="W756" s="150"/>
      <c r="X756" s="150"/>
    </row>
    <row r="757">
      <c r="A757" s="150"/>
      <c r="B757" s="182"/>
      <c r="C757" s="217"/>
      <c r="D757" s="150"/>
      <c r="E757" s="150"/>
      <c r="F757" s="150"/>
      <c r="G757" s="150"/>
      <c r="H757" s="150"/>
      <c r="I757" s="150"/>
      <c r="J757" s="150"/>
      <c r="K757" s="150"/>
      <c r="L757" s="150"/>
      <c r="M757" s="150"/>
      <c r="N757" s="150"/>
      <c r="O757" s="150"/>
      <c r="P757" s="150"/>
      <c r="Q757" s="150"/>
      <c r="R757" s="150"/>
      <c r="S757" s="150"/>
      <c r="T757" s="150"/>
      <c r="U757" s="150"/>
      <c r="V757" s="150"/>
      <c r="W757" s="150"/>
      <c r="X757" s="150"/>
    </row>
    <row r="758">
      <c r="A758" s="150"/>
      <c r="B758" s="182"/>
      <c r="C758" s="217"/>
      <c r="D758" s="150"/>
      <c r="E758" s="150"/>
      <c r="F758" s="150"/>
      <c r="G758" s="150"/>
      <c r="H758" s="150"/>
      <c r="I758" s="150"/>
      <c r="J758" s="150"/>
      <c r="K758" s="150"/>
      <c r="L758" s="150"/>
      <c r="M758" s="150"/>
      <c r="N758" s="150"/>
      <c r="O758" s="150"/>
      <c r="P758" s="150"/>
      <c r="Q758" s="150"/>
      <c r="R758" s="150"/>
      <c r="S758" s="150"/>
      <c r="T758" s="150"/>
      <c r="U758" s="150"/>
      <c r="V758" s="150"/>
      <c r="W758" s="150"/>
      <c r="X758" s="150"/>
    </row>
    <row r="759">
      <c r="A759" s="150"/>
      <c r="B759" s="182"/>
      <c r="C759" s="217"/>
      <c r="D759" s="150"/>
      <c r="E759" s="150"/>
      <c r="F759" s="150"/>
      <c r="G759" s="150"/>
      <c r="H759" s="150"/>
      <c r="I759" s="150"/>
      <c r="J759" s="150"/>
      <c r="K759" s="150"/>
      <c r="L759" s="150"/>
      <c r="M759" s="150"/>
      <c r="N759" s="150"/>
      <c r="O759" s="150"/>
      <c r="P759" s="150"/>
      <c r="Q759" s="150"/>
      <c r="R759" s="150"/>
      <c r="S759" s="150"/>
      <c r="T759" s="150"/>
      <c r="U759" s="150"/>
      <c r="V759" s="150"/>
      <c r="W759" s="150"/>
      <c r="X759" s="150"/>
    </row>
    <row r="760">
      <c r="A760" s="150"/>
      <c r="B760" s="182"/>
      <c r="C760" s="217"/>
      <c r="D760" s="150"/>
      <c r="E760" s="150"/>
      <c r="F760" s="150"/>
      <c r="G760" s="150"/>
      <c r="H760" s="150"/>
      <c r="I760" s="150"/>
      <c r="J760" s="150"/>
      <c r="K760" s="150"/>
      <c r="L760" s="150"/>
      <c r="M760" s="150"/>
      <c r="N760" s="150"/>
      <c r="O760" s="150"/>
      <c r="P760" s="150"/>
      <c r="Q760" s="150"/>
      <c r="R760" s="150"/>
      <c r="S760" s="150"/>
      <c r="T760" s="150"/>
      <c r="U760" s="150"/>
      <c r="V760" s="150"/>
      <c r="W760" s="150"/>
      <c r="X760" s="150"/>
    </row>
    <row r="761">
      <c r="A761" s="150"/>
      <c r="B761" s="182"/>
      <c r="C761" s="217"/>
      <c r="D761" s="150"/>
      <c r="E761" s="150"/>
      <c r="F761" s="150"/>
      <c r="G761" s="150"/>
      <c r="H761" s="150"/>
      <c r="I761" s="150"/>
      <c r="J761" s="150"/>
      <c r="K761" s="150"/>
      <c r="L761" s="150"/>
      <c r="M761" s="150"/>
      <c r="N761" s="150"/>
      <c r="O761" s="150"/>
      <c r="P761" s="150"/>
      <c r="Q761" s="150"/>
      <c r="R761" s="150"/>
      <c r="S761" s="150"/>
      <c r="T761" s="150"/>
      <c r="U761" s="150"/>
      <c r="V761" s="150"/>
      <c r="W761" s="150"/>
      <c r="X761" s="150"/>
    </row>
    <row r="762">
      <c r="A762" s="150"/>
      <c r="B762" s="182"/>
      <c r="C762" s="217"/>
      <c r="D762" s="150"/>
      <c r="E762" s="150"/>
      <c r="F762" s="150"/>
      <c r="G762" s="150"/>
      <c r="H762" s="150"/>
      <c r="I762" s="150"/>
      <c r="J762" s="150"/>
      <c r="K762" s="150"/>
      <c r="L762" s="150"/>
      <c r="M762" s="150"/>
      <c r="N762" s="150"/>
      <c r="O762" s="150"/>
      <c r="P762" s="150"/>
      <c r="Q762" s="150"/>
      <c r="R762" s="150"/>
      <c r="S762" s="150"/>
      <c r="T762" s="150"/>
      <c r="U762" s="150"/>
      <c r="V762" s="150"/>
      <c r="W762" s="150"/>
      <c r="X762" s="150"/>
    </row>
    <row r="763">
      <c r="A763" s="150"/>
      <c r="B763" s="182"/>
      <c r="C763" s="217"/>
      <c r="D763" s="150"/>
      <c r="E763" s="150"/>
      <c r="F763" s="150"/>
      <c r="G763" s="150"/>
      <c r="H763" s="150"/>
      <c r="I763" s="150"/>
      <c r="J763" s="150"/>
      <c r="K763" s="150"/>
      <c r="L763" s="150"/>
      <c r="M763" s="150"/>
      <c r="N763" s="150"/>
      <c r="O763" s="150"/>
      <c r="P763" s="150"/>
      <c r="Q763" s="150"/>
      <c r="R763" s="150"/>
      <c r="S763" s="150"/>
      <c r="T763" s="150"/>
      <c r="U763" s="150"/>
      <c r="V763" s="150"/>
      <c r="W763" s="150"/>
      <c r="X763" s="150"/>
    </row>
    <row r="764">
      <c r="A764" s="150"/>
      <c r="B764" s="182"/>
      <c r="C764" s="217"/>
      <c r="D764" s="150"/>
      <c r="E764" s="150"/>
      <c r="F764" s="150"/>
      <c r="G764" s="150"/>
      <c r="H764" s="150"/>
      <c r="I764" s="150"/>
      <c r="J764" s="150"/>
      <c r="K764" s="150"/>
      <c r="L764" s="150"/>
      <c r="M764" s="150"/>
      <c r="N764" s="150"/>
      <c r="O764" s="150"/>
      <c r="P764" s="150"/>
      <c r="Q764" s="150"/>
      <c r="R764" s="150"/>
      <c r="S764" s="150"/>
      <c r="T764" s="150"/>
      <c r="U764" s="150"/>
      <c r="V764" s="150"/>
      <c r="W764" s="150"/>
      <c r="X764" s="150"/>
    </row>
    <row r="765">
      <c r="A765" s="150"/>
      <c r="B765" s="182"/>
      <c r="C765" s="217"/>
      <c r="D765" s="150"/>
      <c r="E765" s="150"/>
      <c r="F765" s="150"/>
      <c r="G765" s="150"/>
      <c r="H765" s="150"/>
      <c r="I765" s="150"/>
      <c r="J765" s="150"/>
      <c r="K765" s="150"/>
      <c r="L765" s="150"/>
      <c r="M765" s="150"/>
      <c r="N765" s="150"/>
      <c r="O765" s="150"/>
      <c r="P765" s="150"/>
      <c r="Q765" s="150"/>
      <c r="R765" s="150"/>
      <c r="S765" s="150"/>
      <c r="T765" s="150"/>
      <c r="U765" s="150"/>
      <c r="V765" s="150"/>
      <c r="W765" s="150"/>
      <c r="X765" s="150"/>
    </row>
    <row r="766">
      <c r="A766" s="150"/>
      <c r="B766" s="182"/>
      <c r="C766" s="217"/>
      <c r="D766" s="150"/>
      <c r="E766" s="150"/>
      <c r="F766" s="150"/>
      <c r="G766" s="150"/>
      <c r="H766" s="150"/>
      <c r="I766" s="150"/>
      <c r="J766" s="150"/>
      <c r="K766" s="150"/>
      <c r="L766" s="150"/>
      <c r="M766" s="150"/>
      <c r="N766" s="150"/>
      <c r="O766" s="150"/>
      <c r="P766" s="150"/>
      <c r="Q766" s="150"/>
      <c r="R766" s="150"/>
      <c r="S766" s="150"/>
      <c r="T766" s="150"/>
      <c r="U766" s="150"/>
      <c r="V766" s="150"/>
      <c r="W766" s="150"/>
      <c r="X766" s="150"/>
    </row>
    <row r="767">
      <c r="A767" s="150"/>
      <c r="B767" s="182"/>
      <c r="C767" s="217"/>
      <c r="D767" s="150"/>
      <c r="E767" s="150"/>
      <c r="F767" s="150"/>
      <c r="G767" s="150"/>
      <c r="H767" s="150"/>
      <c r="I767" s="150"/>
      <c r="J767" s="150"/>
      <c r="K767" s="150"/>
      <c r="L767" s="150"/>
      <c r="M767" s="150"/>
      <c r="N767" s="150"/>
      <c r="O767" s="150"/>
      <c r="P767" s="150"/>
      <c r="Q767" s="150"/>
      <c r="R767" s="150"/>
      <c r="S767" s="150"/>
      <c r="T767" s="150"/>
      <c r="U767" s="150"/>
      <c r="V767" s="150"/>
      <c r="W767" s="150"/>
      <c r="X767" s="150"/>
    </row>
    <row r="768">
      <c r="A768" s="150"/>
      <c r="B768" s="182"/>
      <c r="C768" s="217"/>
      <c r="D768" s="150"/>
      <c r="E768" s="150"/>
      <c r="F768" s="150"/>
      <c r="G768" s="150"/>
      <c r="H768" s="150"/>
      <c r="I768" s="150"/>
      <c r="J768" s="150"/>
      <c r="K768" s="150"/>
      <c r="L768" s="150"/>
      <c r="M768" s="150"/>
      <c r="N768" s="150"/>
      <c r="O768" s="150"/>
      <c r="P768" s="150"/>
      <c r="Q768" s="150"/>
      <c r="R768" s="150"/>
      <c r="S768" s="150"/>
      <c r="T768" s="150"/>
      <c r="U768" s="150"/>
      <c r="V768" s="150"/>
      <c r="W768" s="150"/>
      <c r="X768" s="150"/>
    </row>
    <row r="769">
      <c r="A769" s="150"/>
      <c r="B769" s="182"/>
      <c r="C769" s="217"/>
      <c r="D769" s="150"/>
      <c r="E769" s="150"/>
      <c r="F769" s="150"/>
      <c r="G769" s="150"/>
      <c r="H769" s="150"/>
      <c r="I769" s="150"/>
      <c r="J769" s="150"/>
      <c r="K769" s="150"/>
      <c r="L769" s="150"/>
      <c r="M769" s="150"/>
      <c r="N769" s="150"/>
      <c r="O769" s="150"/>
      <c r="P769" s="150"/>
      <c r="Q769" s="150"/>
      <c r="R769" s="150"/>
      <c r="S769" s="150"/>
      <c r="T769" s="150"/>
      <c r="U769" s="150"/>
      <c r="V769" s="150"/>
      <c r="W769" s="150"/>
      <c r="X769" s="150"/>
    </row>
    <row r="770">
      <c r="A770" s="150"/>
      <c r="B770" s="182"/>
      <c r="C770" s="217"/>
      <c r="D770" s="150"/>
      <c r="E770" s="150"/>
      <c r="F770" s="150"/>
      <c r="G770" s="150"/>
      <c r="H770" s="150"/>
      <c r="I770" s="150"/>
      <c r="J770" s="150"/>
      <c r="K770" s="150"/>
      <c r="L770" s="150"/>
      <c r="M770" s="150"/>
      <c r="N770" s="150"/>
      <c r="O770" s="150"/>
      <c r="P770" s="150"/>
      <c r="Q770" s="150"/>
      <c r="R770" s="150"/>
      <c r="S770" s="150"/>
      <c r="T770" s="150"/>
      <c r="U770" s="150"/>
      <c r="V770" s="150"/>
      <c r="W770" s="150"/>
      <c r="X770" s="150"/>
    </row>
    <row r="771">
      <c r="A771" s="150"/>
      <c r="B771" s="182"/>
      <c r="C771" s="217"/>
      <c r="D771" s="150"/>
      <c r="E771" s="150"/>
      <c r="F771" s="150"/>
      <c r="G771" s="150"/>
      <c r="H771" s="150"/>
      <c r="I771" s="150"/>
      <c r="J771" s="150"/>
      <c r="K771" s="150"/>
      <c r="L771" s="150"/>
      <c r="M771" s="150"/>
      <c r="N771" s="150"/>
      <c r="O771" s="150"/>
      <c r="P771" s="150"/>
      <c r="Q771" s="150"/>
      <c r="R771" s="150"/>
      <c r="S771" s="150"/>
      <c r="T771" s="150"/>
      <c r="U771" s="150"/>
      <c r="V771" s="150"/>
      <c r="W771" s="150"/>
      <c r="X771" s="150"/>
    </row>
    <row r="772">
      <c r="A772" s="150"/>
      <c r="B772" s="182"/>
      <c r="C772" s="217"/>
      <c r="D772" s="150"/>
      <c r="E772" s="150"/>
      <c r="F772" s="150"/>
      <c r="G772" s="150"/>
      <c r="H772" s="150"/>
      <c r="I772" s="150"/>
      <c r="J772" s="150"/>
      <c r="K772" s="150"/>
      <c r="L772" s="150"/>
      <c r="M772" s="150"/>
      <c r="N772" s="150"/>
      <c r="O772" s="150"/>
      <c r="P772" s="150"/>
      <c r="Q772" s="150"/>
      <c r="R772" s="150"/>
      <c r="S772" s="150"/>
      <c r="T772" s="150"/>
      <c r="U772" s="150"/>
      <c r="V772" s="150"/>
      <c r="W772" s="150"/>
      <c r="X772" s="150"/>
    </row>
    <row r="773">
      <c r="A773" s="150"/>
      <c r="B773" s="182"/>
      <c r="C773" s="217"/>
      <c r="D773" s="150"/>
      <c r="E773" s="150"/>
      <c r="F773" s="150"/>
      <c r="G773" s="150"/>
      <c r="H773" s="150"/>
      <c r="I773" s="150"/>
      <c r="J773" s="150"/>
      <c r="K773" s="150"/>
      <c r="L773" s="150"/>
      <c r="M773" s="150"/>
      <c r="N773" s="150"/>
      <c r="O773" s="150"/>
      <c r="P773" s="150"/>
      <c r="Q773" s="150"/>
      <c r="R773" s="150"/>
      <c r="S773" s="150"/>
      <c r="T773" s="150"/>
      <c r="U773" s="150"/>
      <c r="V773" s="150"/>
      <c r="W773" s="150"/>
      <c r="X773" s="150"/>
    </row>
    <row r="774">
      <c r="A774" s="150"/>
      <c r="B774" s="182"/>
      <c r="C774" s="217"/>
      <c r="D774" s="150"/>
      <c r="E774" s="150"/>
      <c r="F774" s="150"/>
      <c r="G774" s="150"/>
      <c r="H774" s="150"/>
      <c r="I774" s="150"/>
      <c r="J774" s="150"/>
      <c r="K774" s="150"/>
      <c r="L774" s="150"/>
      <c r="M774" s="150"/>
      <c r="N774" s="150"/>
      <c r="O774" s="150"/>
      <c r="P774" s="150"/>
      <c r="Q774" s="150"/>
      <c r="R774" s="150"/>
      <c r="S774" s="150"/>
      <c r="T774" s="150"/>
      <c r="U774" s="150"/>
      <c r="V774" s="150"/>
      <c r="W774" s="150"/>
      <c r="X774" s="150"/>
    </row>
    <row r="775">
      <c r="A775" s="150"/>
      <c r="B775" s="182"/>
      <c r="C775" s="217"/>
      <c r="D775" s="150"/>
      <c r="E775" s="150"/>
      <c r="F775" s="150"/>
      <c r="G775" s="150"/>
      <c r="H775" s="150"/>
      <c r="I775" s="150"/>
      <c r="J775" s="150"/>
      <c r="K775" s="150"/>
      <c r="L775" s="150"/>
      <c r="M775" s="150"/>
      <c r="N775" s="150"/>
      <c r="O775" s="150"/>
      <c r="P775" s="150"/>
      <c r="Q775" s="150"/>
      <c r="R775" s="150"/>
      <c r="S775" s="150"/>
      <c r="T775" s="150"/>
      <c r="U775" s="150"/>
      <c r="V775" s="150"/>
      <c r="W775" s="150"/>
      <c r="X775" s="150"/>
    </row>
    <row r="776">
      <c r="A776" s="150"/>
      <c r="B776" s="182"/>
      <c r="C776" s="217"/>
      <c r="D776" s="150"/>
      <c r="E776" s="150"/>
      <c r="F776" s="150"/>
      <c r="G776" s="150"/>
      <c r="H776" s="150"/>
      <c r="I776" s="150"/>
      <c r="J776" s="150"/>
      <c r="K776" s="150"/>
      <c r="L776" s="150"/>
      <c r="M776" s="150"/>
      <c r="N776" s="150"/>
      <c r="O776" s="150"/>
      <c r="P776" s="150"/>
      <c r="Q776" s="150"/>
      <c r="R776" s="150"/>
      <c r="S776" s="150"/>
      <c r="T776" s="150"/>
      <c r="U776" s="150"/>
      <c r="V776" s="150"/>
      <c r="W776" s="150"/>
      <c r="X776" s="150"/>
    </row>
    <row r="777">
      <c r="A777" s="150"/>
      <c r="B777" s="182"/>
      <c r="C777" s="217"/>
      <c r="D777" s="150"/>
      <c r="E777" s="150"/>
      <c r="F777" s="150"/>
      <c r="G777" s="150"/>
      <c r="H777" s="150"/>
      <c r="I777" s="150"/>
      <c r="J777" s="150"/>
      <c r="K777" s="150"/>
      <c r="L777" s="150"/>
      <c r="M777" s="150"/>
      <c r="N777" s="150"/>
      <c r="O777" s="150"/>
      <c r="P777" s="150"/>
      <c r="Q777" s="150"/>
      <c r="R777" s="150"/>
      <c r="S777" s="150"/>
      <c r="T777" s="150"/>
      <c r="U777" s="150"/>
      <c r="V777" s="150"/>
      <c r="W777" s="150"/>
      <c r="X777" s="150"/>
    </row>
    <row r="778">
      <c r="A778" s="150"/>
      <c r="B778" s="182"/>
      <c r="C778" s="217"/>
      <c r="D778" s="150"/>
      <c r="E778" s="150"/>
      <c r="F778" s="150"/>
      <c r="G778" s="150"/>
      <c r="H778" s="150"/>
      <c r="I778" s="150"/>
      <c r="J778" s="150"/>
      <c r="K778" s="150"/>
      <c r="L778" s="150"/>
      <c r="M778" s="150"/>
      <c r="N778" s="150"/>
      <c r="O778" s="150"/>
      <c r="P778" s="150"/>
      <c r="Q778" s="150"/>
      <c r="R778" s="150"/>
      <c r="S778" s="150"/>
      <c r="T778" s="150"/>
      <c r="U778" s="150"/>
      <c r="V778" s="150"/>
      <c r="W778" s="150"/>
      <c r="X778" s="150"/>
    </row>
    <row r="779">
      <c r="A779" s="150"/>
      <c r="B779" s="182"/>
      <c r="C779" s="217"/>
      <c r="D779" s="150"/>
      <c r="E779" s="150"/>
      <c r="F779" s="150"/>
      <c r="G779" s="150"/>
      <c r="H779" s="150"/>
      <c r="I779" s="150"/>
      <c r="J779" s="150"/>
      <c r="K779" s="150"/>
      <c r="L779" s="150"/>
      <c r="M779" s="150"/>
      <c r="N779" s="150"/>
      <c r="O779" s="150"/>
      <c r="P779" s="150"/>
      <c r="Q779" s="150"/>
      <c r="R779" s="150"/>
      <c r="S779" s="150"/>
      <c r="T779" s="150"/>
      <c r="U779" s="150"/>
      <c r="V779" s="150"/>
      <c r="W779" s="150"/>
      <c r="X779" s="150"/>
    </row>
    <row r="780">
      <c r="A780" s="150"/>
      <c r="B780" s="182"/>
      <c r="C780" s="217"/>
      <c r="D780" s="150"/>
      <c r="E780" s="150"/>
      <c r="F780" s="150"/>
      <c r="G780" s="150"/>
      <c r="H780" s="150"/>
      <c r="I780" s="150"/>
      <c r="J780" s="150"/>
      <c r="K780" s="150"/>
      <c r="L780" s="150"/>
      <c r="M780" s="150"/>
      <c r="N780" s="150"/>
      <c r="O780" s="150"/>
      <c r="P780" s="150"/>
      <c r="Q780" s="150"/>
      <c r="R780" s="150"/>
      <c r="S780" s="150"/>
      <c r="T780" s="150"/>
      <c r="U780" s="150"/>
      <c r="V780" s="150"/>
      <c r="W780" s="150"/>
      <c r="X780" s="150"/>
    </row>
    <row r="781">
      <c r="A781" s="150"/>
      <c r="B781" s="182"/>
      <c r="C781" s="217"/>
      <c r="D781" s="150"/>
      <c r="E781" s="150"/>
      <c r="F781" s="150"/>
      <c r="G781" s="150"/>
      <c r="H781" s="150"/>
      <c r="I781" s="150"/>
      <c r="J781" s="150"/>
      <c r="K781" s="150"/>
      <c r="L781" s="150"/>
      <c r="M781" s="150"/>
      <c r="N781" s="150"/>
      <c r="O781" s="150"/>
      <c r="P781" s="150"/>
      <c r="Q781" s="150"/>
      <c r="R781" s="150"/>
      <c r="S781" s="150"/>
      <c r="T781" s="150"/>
      <c r="U781" s="150"/>
      <c r="V781" s="150"/>
      <c r="W781" s="150"/>
      <c r="X781" s="150"/>
    </row>
    <row r="782">
      <c r="A782" s="150"/>
      <c r="B782" s="182"/>
      <c r="C782" s="217"/>
      <c r="D782" s="150"/>
      <c r="E782" s="150"/>
      <c r="F782" s="150"/>
      <c r="G782" s="150"/>
      <c r="H782" s="150"/>
      <c r="I782" s="150"/>
      <c r="J782" s="150"/>
      <c r="K782" s="150"/>
      <c r="L782" s="150"/>
      <c r="M782" s="150"/>
      <c r="N782" s="150"/>
      <c r="O782" s="150"/>
      <c r="P782" s="150"/>
      <c r="Q782" s="150"/>
      <c r="R782" s="150"/>
      <c r="S782" s="150"/>
      <c r="T782" s="150"/>
      <c r="U782" s="150"/>
      <c r="V782" s="150"/>
      <c r="W782" s="150"/>
      <c r="X782" s="150"/>
    </row>
    <row r="783">
      <c r="A783" s="150"/>
      <c r="B783" s="182"/>
      <c r="C783" s="217"/>
      <c r="D783" s="150"/>
      <c r="E783" s="150"/>
      <c r="F783" s="150"/>
      <c r="G783" s="150"/>
      <c r="H783" s="150"/>
      <c r="I783" s="150"/>
      <c r="J783" s="150"/>
      <c r="K783" s="150"/>
      <c r="L783" s="150"/>
      <c r="M783" s="150"/>
      <c r="N783" s="150"/>
      <c r="O783" s="150"/>
      <c r="P783" s="150"/>
      <c r="Q783" s="150"/>
      <c r="R783" s="150"/>
      <c r="S783" s="150"/>
      <c r="T783" s="150"/>
      <c r="U783" s="150"/>
      <c r="V783" s="150"/>
      <c r="W783" s="150"/>
      <c r="X783" s="150"/>
    </row>
    <row r="784">
      <c r="A784" s="150"/>
      <c r="B784" s="182"/>
      <c r="C784" s="217"/>
      <c r="D784" s="150"/>
      <c r="E784" s="150"/>
      <c r="F784" s="150"/>
      <c r="G784" s="150"/>
      <c r="H784" s="150"/>
      <c r="I784" s="150"/>
      <c r="J784" s="150"/>
      <c r="K784" s="150"/>
      <c r="L784" s="150"/>
      <c r="M784" s="150"/>
      <c r="N784" s="150"/>
      <c r="O784" s="150"/>
      <c r="P784" s="150"/>
      <c r="Q784" s="150"/>
      <c r="R784" s="150"/>
      <c r="S784" s="150"/>
      <c r="T784" s="150"/>
      <c r="U784" s="150"/>
      <c r="V784" s="150"/>
      <c r="W784" s="150"/>
      <c r="X784" s="150"/>
    </row>
    <row r="785">
      <c r="A785" s="150"/>
      <c r="B785" s="182"/>
      <c r="C785" s="217"/>
      <c r="D785" s="150"/>
      <c r="E785" s="150"/>
      <c r="F785" s="150"/>
      <c r="G785" s="150"/>
      <c r="H785" s="150"/>
      <c r="I785" s="150"/>
      <c r="J785" s="150"/>
      <c r="K785" s="150"/>
      <c r="L785" s="150"/>
      <c r="M785" s="150"/>
      <c r="N785" s="150"/>
      <c r="O785" s="150"/>
      <c r="P785" s="150"/>
      <c r="Q785" s="150"/>
      <c r="R785" s="150"/>
      <c r="S785" s="150"/>
      <c r="T785" s="150"/>
      <c r="U785" s="150"/>
      <c r="V785" s="150"/>
      <c r="W785" s="150"/>
      <c r="X785" s="150"/>
    </row>
    <row r="786">
      <c r="A786" s="150"/>
      <c r="B786" s="182"/>
      <c r="C786" s="217"/>
      <c r="D786" s="150"/>
      <c r="E786" s="150"/>
      <c r="F786" s="150"/>
      <c r="G786" s="150"/>
      <c r="H786" s="150"/>
      <c r="I786" s="150"/>
      <c r="J786" s="150"/>
      <c r="K786" s="150"/>
      <c r="L786" s="150"/>
      <c r="M786" s="150"/>
      <c r="N786" s="150"/>
      <c r="O786" s="150"/>
      <c r="P786" s="150"/>
      <c r="Q786" s="150"/>
      <c r="R786" s="150"/>
      <c r="S786" s="150"/>
      <c r="T786" s="150"/>
      <c r="U786" s="150"/>
      <c r="V786" s="150"/>
      <c r="W786" s="150"/>
      <c r="X786" s="150"/>
    </row>
    <row r="787">
      <c r="A787" s="150"/>
      <c r="B787" s="182"/>
      <c r="C787" s="217"/>
      <c r="D787" s="150"/>
      <c r="E787" s="150"/>
      <c r="F787" s="150"/>
      <c r="G787" s="150"/>
      <c r="H787" s="150"/>
      <c r="I787" s="150"/>
      <c r="J787" s="150"/>
      <c r="K787" s="150"/>
      <c r="L787" s="150"/>
      <c r="M787" s="150"/>
      <c r="N787" s="150"/>
      <c r="O787" s="150"/>
      <c r="P787" s="150"/>
      <c r="Q787" s="150"/>
      <c r="R787" s="150"/>
      <c r="S787" s="150"/>
      <c r="T787" s="150"/>
      <c r="U787" s="150"/>
      <c r="V787" s="150"/>
      <c r="W787" s="150"/>
      <c r="X787" s="150"/>
    </row>
    <row r="788">
      <c r="A788" s="150"/>
      <c r="B788" s="182"/>
      <c r="C788" s="217"/>
      <c r="D788" s="150"/>
      <c r="E788" s="150"/>
      <c r="F788" s="150"/>
      <c r="G788" s="150"/>
      <c r="H788" s="150"/>
      <c r="I788" s="150"/>
      <c r="J788" s="150"/>
      <c r="K788" s="150"/>
      <c r="L788" s="150"/>
      <c r="M788" s="150"/>
      <c r="N788" s="150"/>
      <c r="O788" s="150"/>
      <c r="P788" s="150"/>
      <c r="Q788" s="150"/>
      <c r="R788" s="150"/>
      <c r="S788" s="150"/>
      <c r="T788" s="150"/>
      <c r="U788" s="150"/>
      <c r="V788" s="150"/>
      <c r="W788" s="150"/>
      <c r="X788" s="150"/>
    </row>
    <row r="789">
      <c r="A789" s="150"/>
      <c r="B789" s="182"/>
      <c r="C789" s="217"/>
      <c r="D789" s="150"/>
      <c r="E789" s="150"/>
      <c r="F789" s="150"/>
      <c r="G789" s="150"/>
      <c r="H789" s="150"/>
      <c r="I789" s="150"/>
      <c r="J789" s="150"/>
      <c r="K789" s="150"/>
      <c r="L789" s="150"/>
      <c r="M789" s="150"/>
      <c r="N789" s="150"/>
      <c r="O789" s="150"/>
      <c r="P789" s="150"/>
      <c r="Q789" s="150"/>
      <c r="R789" s="150"/>
      <c r="S789" s="150"/>
      <c r="T789" s="150"/>
      <c r="U789" s="150"/>
      <c r="V789" s="150"/>
      <c r="W789" s="150"/>
      <c r="X789" s="150"/>
    </row>
    <row r="790">
      <c r="A790" s="150"/>
      <c r="B790" s="182"/>
      <c r="C790" s="217"/>
      <c r="D790" s="150"/>
      <c r="E790" s="150"/>
      <c r="F790" s="150"/>
      <c r="G790" s="150"/>
      <c r="H790" s="150"/>
      <c r="I790" s="150"/>
      <c r="J790" s="150"/>
      <c r="K790" s="150"/>
      <c r="L790" s="150"/>
      <c r="M790" s="150"/>
      <c r="N790" s="150"/>
      <c r="O790" s="150"/>
      <c r="P790" s="150"/>
      <c r="Q790" s="150"/>
      <c r="R790" s="150"/>
      <c r="S790" s="150"/>
      <c r="T790" s="150"/>
      <c r="U790" s="150"/>
      <c r="V790" s="150"/>
      <c r="W790" s="150"/>
      <c r="X790" s="150"/>
    </row>
    <row r="791">
      <c r="A791" s="150"/>
      <c r="B791" s="182"/>
      <c r="C791" s="217"/>
      <c r="D791" s="150"/>
      <c r="E791" s="150"/>
      <c r="F791" s="150"/>
      <c r="G791" s="150"/>
      <c r="H791" s="150"/>
      <c r="I791" s="150"/>
      <c r="J791" s="150"/>
      <c r="K791" s="150"/>
      <c r="L791" s="150"/>
      <c r="M791" s="150"/>
      <c r="N791" s="150"/>
      <c r="O791" s="150"/>
      <c r="P791" s="150"/>
      <c r="Q791" s="150"/>
      <c r="R791" s="150"/>
      <c r="S791" s="150"/>
      <c r="T791" s="150"/>
      <c r="U791" s="150"/>
      <c r="V791" s="150"/>
      <c r="W791" s="150"/>
      <c r="X791" s="150"/>
    </row>
    <row r="792">
      <c r="A792" s="150"/>
      <c r="B792" s="182"/>
      <c r="C792" s="217"/>
      <c r="D792" s="150"/>
      <c r="E792" s="150"/>
      <c r="F792" s="150"/>
      <c r="G792" s="150"/>
      <c r="H792" s="150"/>
      <c r="I792" s="150"/>
      <c r="J792" s="150"/>
      <c r="K792" s="150"/>
      <c r="L792" s="150"/>
      <c r="M792" s="150"/>
      <c r="N792" s="150"/>
      <c r="O792" s="150"/>
      <c r="P792" s="150"/>
      <c r="Q792" s="150"/>
      <c r="R792" s="150"/>
      <c r="S792" s="150"/>
      <c r="T792" s="150"/>
      <c r="U792" s="150"/>
      <c r="V792" s="150"/>
      <c r="W792" s="150"/>
      <c r="X792" s="150"/>
    </row>
    <row r="793">
      <c r="A793" s="150"/>
      <c r="B793" s="182"/>
      <c r="C793" s="217"/>
      <c r="D793" s="150"/>
      <c r="E793" s="150"/>
      <c r="F793" s="150"/>
      <c r="G793" s="150"/>
      <c r="H793" s="150"/>
      <c r="I793" s="150"/>
      <c r="J793" s="150"/>
      <c r="K793" s="150"/>
      <c r="L793" s="150"/>
      <c r="M793" s="150"/>
      <c r="N793" s="150"/>
      <c r="O793" s="150"/>
      <c r="P793" s="150"/>
      <c r="Q793" s="150"/>
      <c r="R793" s="150"/>
      <c r="S793" s="150"/>
      <c r="T793" s="150"/>
      <c r="U793" s="150"/>
      <c r="V793" s="150"/>
      <c r="W793" s="150"/>
      <c r="X793" s="150"/>
    </row>
    <row r="794">
      <c r="A794" s="150"/>
      <c r="B794" s="182"/>
      <c r="C794" s="217"/>
      <c r="D794" s="150"/>
      <c r="E794" s="150"/>
      <c r="F794" s="150"/>
      <c r="G794" s="150"/>
      <c r="H794" s="150"/>
      <c r="I794" s="150"/>
      <c r="J794" s="150"/>
      <c r="K794" s="150"/>
      <c r="L794" s="150"/>
      <c r="M794" s="150"/>
      <c r="N794" s="150"/>
      <c r="O794" s="150"/>
      <c r="P794" s="150"/>
      <c r="Q794" s="150"/>
      <c r="R794" s="150"/>
      <c r="S794" s="150"/>
      <c r="T794" s="150"/>
      <c r="U794" s="150"/>
      <c r="V794" s="150"/>
      <c r="W794" s="150"/>
      <c r="X794" s="150"/>
    </row>
    <row r="795">
      <c r="A795" s="150"/>
      <c r="B795" s="182"/>
      <c r="C795" s="217"/>
      <c r="D795" s="150"/>
      <c r="E795" s="150"/>
      <c r="F795" s="150"/>
      <c r="G795" s="150"/>
      <c r="H795" s="150"/>
      <c r="I795" s="150"/>
      <c r="J795" s="150"/>
      <c r="K795" s="150"/>
      <c r="L795" s="150"/>
      <c r="M795" s="150"/>
      <c r="N795" s="150"/>
      <c r="O795" s="150"/>
      <c r="P795" s="150"/>
      <c r="Q795" s="150"/>
      <c r="R795" s="150"/>
      <c r="S795" s="150"/>
      <c r="T795" s="150"/>
      <c r="U795" s="150"/>
      <c r="V795" s="150"/>
      <c r="W795" s="150"/>
      <c r="X795" s="150"/>
    </row>
    <row r="796">
      <c r="A796" s="150"/>
      <c r="B796" s="182"/>
      <c r="C796" s="217"/>
      <c r="D796" s="150"/>
      <c r="E796" s="150"/>
      <c r="F796" s="150"/>
      <c r="G796" s="150"/>
      <c r="H796" s="150"/>
      <c r="I796" s="150"/>
      <c r="J796" s="150"/>
      <c r="K796" s="150"/>
      <c r="L796" s="150"/>
      <c r="M796" s="150"/>
      <c r="N796" s="150"/>
      <c r="O796" s="150"/>
      <c r="P796" s="150"/>
      <c r="Q796" s="150"/>
      <c r="R796" s="150"/>
      <c r="S796" s="150"/>
      <c r="T796" s="150"/>
      <c r="U796" s="150"/>
      <c r="V796" s="150"/>
      <c r="W796" s="150"/>
      <c r="X796" s="150"/>
    </row>
    <row r="797">
      <c r="A797" s="150"/>
      <c r="B797" s="182"/>
      <c r="C797" s="217"/>
      <c r="D797" s="150"/>
      <c r="E797" s="150"/>
      <c r="F797" s="150"/>
      <c r="G797" s="150"/>
      <c r="H797" s="150"/>
      <c r="I797" s="150"/>
      <c r="J797" s="150"/>
      <c r="K797" s="150"/>
      <c r="L797" s="150"/>
      <c r="M797" s="150"/>
      <c r="N797" s="150"/>
      <c r="O797" s="150"/>
      <c r="P797" s="150"/>
      <c r="Q797" s="150"/>
      <c r="R797" s="150"/>
      <c r="S797" s="150"/>
      <c r="T797" s="150"/>
      <c r="U797" s="150"/>
      <c r="V797" s="150"/>
      <c r="W797" s="150"/>
      <c r="X797" s="150"/>
    </row>
    <row r="798">
      <c r="A798" s="150"/>
      <c r="B798" s="182"/>
      <c r="C798" s="217"/>
      <c r="D798" s="150"/>
      <c r="E798" s="150"/>
      <c r="F798" s="150"/>
      <c r="G798" s="150"/>
      <c r="H798" s="150"/>
      <c r="I798" s="150"/>
      <c r="J798" s="150"/>
      <c r="K798" s="150"/>
      <c r="L798" s="150"/>
      <c r="M798" s="150"/>
      <c r="N798" s="150"/>
      <c r="O798" s="150"/>
      <c r="P798" s="150"/>
      <c r="Q798" s="150"/>
      <c r="R798" s="150"/>
      <c r="S798" s="150"/>
      <c r="T798" s="150"/>
      <c r="U798" s="150"/>
      <c r="V798" s="150"/>
      <c r="W798" s="150"/>
      <c r="X798" s="150"/>
    </row>
    <row r="799">
      <c r="A799" s="150"/>
      <c r="B799" s="182"/>
      <c r="C799" s="217"/>
      <c r="D799" s="150"/>
      <c r="E799" s="150"/>
      <c r="F799" s="150"/>
      <c r="G799" s="150"/>
      <c r="H799" s="150"/>
      <c r="I799" s="150"/>
      <c r="J799" s="150"/>
      <c r="K799" s="150"/>
      <c r="L799" s="150"/>
      <c r="M799" s="150"/>
      <c r="N799" s="150"/>
      <c r="O799" s="150"/>
      <c r="P799" s="150"/>
      <c r="Q799" s="150"/>
      <c r="R799" s="150"/>
      <c r="S799" s="150"/>
      <c r="T799" s="150"/>
      <c r="U799" s="150"/>
      <c r="V799" s="150"/>
      <c r="W799" s="150"/>
      <c r="X799" s="150"/>
    </row>
    <row r="800">
      <c r="A800" s="150"/>
      <c r="B800" s="182"/>
      <c r="C800" s="217"/>
      <c r="D800" s="150"/>
      <c r="E800" s="150"/>
      <c r="F800" s="150"/>
      <c r="G800" s="150"/>
      <c r="H800" s="150"/>
      <c r="I800" s="150"/>
      <c r="J800" s="150"/>
      <c r="K800" s="150"/>
      <c r="L800" s="150"/>
      <c r="M800" s="150"/>
      <c r="N800" s="150"/>
      <c r="O800" s="150"/>
      <c r="P800" s="150"/>
      <c r="Q800" s="150"/>
      <c r="R800" s="150"/>
      <c r="S800" s="150"/>
      <c r="T800" s="150"/>
      <c r="U800" s="150"/>
      <c r="V800" s="150"/>
      <c r="W800" s="150"/>
      <c r="X800" s="150"/>
    </row>
    <row r="801">
      <c r="A801" s="150"/>
      <c r="B801" s="182"/>
      <c r="C801" s="217"/>
      <c r="D801" s="150"/>
      <c r="E801" s="150"/>
      <c r="F801" s="150"/>
      <c r="G801" s="150"/>
      <c r="H801" s="150"/>
      <c r="I801" s="150"/>
      <c r="J801" s="150"/>
      <c r="K801" s="150"/>
      <c r="L801" s="150"/>
      <c r="M801" s="150"/>
      <c r="N801" s="150"/>
      <c r="O801" s="150"/>
      <c r="P801" s="150"/>
      <c r="Q801" s="150"/>
      <c r="R801" s="150"/>
      <c r="S801" s="150"/>
      <c r="T801" s="150"/>
      <c r="U801" s="150"/>
      <c r="V801" s="150"/>
      <c r="W801" s="150"/>
      <c r="X801" s="150"/>
    </row>
    <row r="802">
      <c r="A802" s="150"/>
      <c r="B802" s="182"/>
      <c r="C802" s="217"/>
      <c r="D802" s="150"/>
      <c r="E802" s="150"/>
      <c r="F802" s="150"/>
      <c r="G802" s="150"/>
      <c r="H802" s="150"/>
      <c r="I802" s="150"/>
      <c r="J802" s="150"/>
      <c r="K802" s="150"/>
      <c r="L802" s="150"/>
      <c r="M802" s="150"/>
      <c r="N802" s="150"/>
      <c r="O802" s="150"/>
      <c r="P802" s="150"/>
      <c r="Q802" s="150"/>
      <c r="R802" s="150"/>
      <c r="S802" s="150"/>
      <c r="T802" s="150"/>
      <c r="U802" s="150"/>
      <c r="V802" s="150"/>
      <c r="W802" s="150"/>
      <c r="X802" s="150"/>
    </row>
    <row r="803">
      <c r="A803" s="150"/>
      <c r="B803" s="182"/>
      <c r="C803" s="217"/>
      <c r="D803" s="150"/>
      <c r="E803" s="150"/>
      <c r="F803" s="150"/>
      <c r="G803" s="150"/>
      <c r="H803" s="150"/>
      <c r="I803" s="150"/>
      <c r="J803" s="150"/>
      <c r="K803" s="150"/>
      <c r="L803" s="150"/>
      <c r="M803" s="150"/>
      <c r="N803" s="150"/>
      <c r="O803" s="150"/>
      <c r="P803" s="150"/>
      <c r="Q803" s="150"/>
      <c r="R803" s="150"/>
      <c r="S803" s="150"/>
      <c r="T803" s="150"/>
      <c r="U803" s="150"/>
      <c r="V803" s="150"/>
      <c r="W803" s="150"/>
      <c r="X803" s="150"/>
    </row>
    <row r="804">
      <c r="A804" s="150"/>
      <c r="B804" s="182"/>
      <c r="C804" s="217"/>
      <c r="D804" s="150"/>
      <c r="E804" s="150"/>
      <c r="F804" s="150"/>
      <c r="G804" s="150"/>
      <c r="H804" s="150"/>
      <c r="I804" s="150"/>
      <c r="J804" s="150"/>
      <c r="K804" s="150"/>
      <c r="L804" s="150"/>
      <c r="M804" s="150"/>
      <c r="N804" s="150"/>
      <c r="O804" s="150"/>
      <c r="P804" s="150"/>
      <c r="Q804" s="150"/>
      <c r="R804" s="150"/>
      <c r="S804" s="150"/>
      <c r="T804" s="150"/>
      <c r="U804" s="150"/>
      <c r="V804" s="150"/>
      <c r="W804" s="150"/>
      <c r="X804" s="150"/>
    </row>
    <row r="805">
      <c r="A805" s="150"/>
      <c r="B805" s="182"/>
      <c r="C805" s="217"/>
      <c r="D805" s="150"/>
      <c r="E805" s="150"/>
      <c r="F805" s="150"/>
      <c r="G805" s="150"/>
      <c r="H805" s="150"/>
      <c r="I805" s="150"/>
      <c r="J805" s="150"/>
      <c r="K805" s="150"/>
      <c r="L805" s="150"/>
      <c r="M805" s="150"/>
      <c r="N805" s="150"/>
      <c r="O805" s="150"/>
      <c r="P805" s="150"/>
      <c r="Q805" s="150"/>
      <c r="R805" s="150"/>
      <c r="S805" s="150"/>
      <c r="T805" s="150"/>
      <c r="U805" s="150"/>
      <c r="V805" s="150"/>
      <c r="W805" s="150"/>
      <c r="X805" s="150"/>
    </row>
    <row r="806">
      <c r="A806" s="150"/>
      <c r="B806" s="182"/>
      <c r="C806" s="217"/>
      <c r="D806" s="150"/>
      <c r="E806" s="150"/>
      <c r="F806" s="150"/>
      <c r="G806" s="150"/>
      <c r="H806" s="150"/>
      <c r="I806" s="150"/>
      <c r="J806" s="150"/>
      <c r="K806" s="150"/>
      <c r="L806" s="150"/>
      <c r="M806" s="150"/>
      <c r="N806" s="150"/>
      <c r="O806" s="150"/>
      <c r="P806" s="150"/>
      <c r="Q806" s="150"/>
      <c r="R806" s="150"/>
      <c r="S806" s="150"/>
      <c r="T806" s="150"/>
      <c r="U806" s="150"/>
      <c r="V806" s="150"/>
      <c r="W806" s="150"/>
      <c r="X806" s="150"/>
    </row>
  </sheetData>
  <mergeCells count="6">
    <mergeCell ref="B2:B4"/>
    <mergeCell ref="B5:B6"/>
    <mergeCell ref="B8:B9"/>
    <mergeCell ref="B10:B12"/>
    <mergeCell ref="B14:B15"/>
    <mergeCell ref="B16:B1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86"/>
    <col customWidth="1" min="2" max="2" width="39.86"/>
    <col customWidth="1" min="3" max="3" width="51.14"/>
    <col customWidth="1" min="4" max="4" width="117.29"/>
    <col customWidth="1" min="5" max="5" width="85.43"/>
    <col customWidth="1" min="6" max="6" width="91.0"/>
    <col customWidth="1" min="7" max="7" width="44.43"/>
    <col customWidth="1" min="8" max="8" width="70.14"/>
    <col customWidth="1" min="9" max="9" width="13.29"/>
    <col customWidth="1" min="10" max="10" width="23.0"/>
    <col customWidth="1" min="11" max="11" width="14.86"/>
  </cols>
  <sheetData>
    <row r="1">
      <c r="A1" s="218" t="s">
        <v>495</v>
      </c>
      <c r="B1" s="152"/>
      <c r="C1" s="153"/>
      <c r="D1" s="153"/>
      <c r="E1" s="153"/>
      <c r="F1" s="153"/>
      <c r="G1" s="153"/>
      <c r="H1" s="153"/>
      <c r="I1" s="154"/>
      <c r="J1" s="150"/>
      <c r="K1" s="150"/>
    </row>
    <row r="2">
      <c r="A2" s="156" t="s">
        <v>169</v>
      </c>
      <c r="B2" s="157"/>
      <c r="C2" s="23"/>
      <c r="D2" s="23"/>
      <c r="E2" s="23"/>
      <c r="F2" s="23"/>
      <c r="G2" s="23"/>
      <c r="H2" s="23"/>
      <c r="I2" s="158"/>
      <c r="J2" s="150"/>
      <c r="K2" s="150"/>
    </row>
    <row r="3">
      <c r="A3" s="156" t="s">
        <v>171</v>
      </c>
      <c r="B3" s="160" t="s">
        <v>172</v>
      </c>
      <c r="C3" s="161"/>
      <c r="D3" s="161"/>
      <c r="E3" s="161"/>
      <c r="F3" s="161"/>
      <c r="G3" s="161"/>
      <c r="H3" s="161"/>
      <c r="I3" s="162"/>
      <c r="J3" s="150"/>
      <c r="K3" s="149"/>
    </row>
    <row r="4">
      <c r="A4" s="164" t="s">
        <v>168</v>
      </c>
      <c r="B4" s="165" t="s">
        <v>170</v>
      </c>
      <c r="C4" s="166" t="s">
        <v>174</v>
      </c>
      <c r="D4" s="167"/>
      <c r="E4" s="166" t="s">
        <v>175</v>
      </c>
      <c r="F4" s="167"/>
      <c r="G4" s="166" t="s">
        <v>176</v>
      </c>
      <c r="H4" s="161"/>
      <c r="I4" s="162"/>
      <c r="J4" s="168"/>
      <c r="K4" s="169">
        <f>NOW()</f>
        <v>46202.24998</v>
      </c>
    </row>
    <row r="5">
      <c r="A5" s="171">
        <f>COUNTIF(I7:I785,"Pass")</f>
        <v>36</v>
      </c>
      <c r="B5" s="172">
        <f>COUNTIF(I7:I785,"Fail")</f>
        <v>2</v>
      </c>
      <c r="C5" s="173" t="str">
        <f>H5-F5-C5-B5</f>
        <v>#REF!</v>
      </c>
      <c r="D5" s="174"/>
      <c r="E5" s="173">
        <f>COUNTIF(J$7:J$786,"N/A")</f>
        <v>0</v>
      </c>
      <c r="F5" s="174"/>
      <c r="G5" s="175">
        <f>COUNTA(C7:C785)</f>
        <v>39</v>
      </c>
      <c r="H5" s="176"/>
      <c r="I5" s="177"/>
      <c r="J5" s="150"/>
      <c r="K5" s="150"/>
    </row>
    <row r="6">
      <c r="A6" s="219"/>
      <c r="B6" s="180"/>
      <c r="C6" s="180"/>
      <c r="D6" s="180"/>
      <c r="E6" s="180"/>
      <c r="F6" s="180"/>
      <c r="G6" s="180"/>
      <c r="H6" s="180"/>
      <c r="I6" s="220"/>
      <c r="J6" s="150"/>
      <c r="K6" s="150"/>
    </row>
    <row r="7">
      <c r="A7" s="221" t="s">
        <v>178</v>
      </c>
      <c r="B7" s="221" t="s">
        <v>179</v>
      </c>
      <c r="C7" s="221" t="s">
        <v>180</v>
      </c>
      <c r="D7" s="221" t="s">
        <v>181</v>
      </c>
      <c r="E7" s="221" t="s">
        <v>182</v>
      </c>
      <c r="F7" s="221" t="s">
        <v>183</v>
      </c>
      <c r="G7" s="221" t="s">
        <v>184</v>
      </c>
      <c r="H7" s="221" t="s">
        <v>185</v>
      </c>
      <c r="I7" s="221" t="s">
        <v>186</v>
      </c>
      <c r="J7" s="221" t="s">
        <v>187</v>
      </c>
      <c r="K7" s="221" t="s">
        <v>309</v>
      </c>
    </row>
    <row r="8">
      <c r="A8" s="222"/>
      <c r="B8" s="222"/>
      <c r="C8" s="222"/>
      <c r="D8" s="222"/>
      <c r="E8" s="222"/>
      <c r="F8" s="222"/>
      <c r="G8" s="222"/>
      <c r="H8" s="222"/>
      <c r="I8" s="222"/>
      <c r="J8" s="222"/>
      <c r="K8" s="222"/>
    </row>
    <row r="9">
      <c r="A9" s="222"/>
      <c r="B9" s="222"/>
      <c r="C9" s="222"/>
      <c r="D9" s="222"/>
      <c r="E9" s="222"/>
      <c r="F9" s="222"/>
      <c r="G9" s="222"/>
      <c r="H9" s="222"/>
      <c r="I9" s="222"/>
      <c r="J9" s="222"/>
      <c r="K9" s="222"/>
    </row>
    <row r="10">
      <c r="A10" s="223"/>
      <c r="B10" s="6"/>
      <c r="C10" s="6"/>
      <c r="D10" s="6"/>
      <c r="E10" s="6"/>
      <c r="F10" s="6"/>
      <c r="G10" s="6"/>
      <c r="H10" s="6"/>
      <c r="I10" s="6"/>
      <c r="J10" s="6"/>
      <c r="K10" s="7"/>
    </row>
    <row r="11">
      <c r="A11" s="224" t="s">
        <v>496</v>
      </c>
      <c r="B11" s="225" t="s">
        <v>497</v>
      </c>
      <c r="C11" s="224" t="s">
        <v>498</v>
      </c>
      <c r="D11" s="224" t="s">
        <v>499</v>
      </c>
      <c r="E11" s="224" t="s">
        <v>500</v>
      </c>
      <c r="F11" s="224" t="s">
        <v>501</v>
      </c>
      <c r="G11" s="224" t="s">
        <v>502</v>
      </c>
      <c r="H11" s="224" t="s">
        <v>189</v>
      </c>
      <c r="I11" s="224" t="s">
        <v>503</v>
      </c>
      <c r="J11" s="226">
        <v>46134.0</v>
      </c>
      <c r="K11" s="224"/>
    </row>
    <row r="12">
      <c r="A12" s="224" t="s">
        <v>504</v>
      </c>
      <c r="B12" s="92"/>
      <c r="C12" s="224" t="s">
        <v>505</v>
      </c>
      <c r="D12" s="224" t="s">
        <v>506</v>
      </c>
      <c r="E12" s="224" t="s">
        <v>507</v>
      </c>
      <c r="F12" s="224" t="s">
        <v>508</v>
      </c>
      <c r="G12" s="224" t="s">
        <v>502</v>
      </c>
      <c r="H12" s="224" t="s">
        <v>496</v>
      </c>
      <c r="I12" s="224" t="s">
        <v>503</v>
      </c>
      <c r="J12" s="226">
        <v>46134.0</v>
      </c>
      <c r="K12" s="224"/>
    </row>
    <row r="13">
      <c r="A13" s="224" t="s">
        <v>509</v>
      </c>
      <c r="B13" s="92"/>
      <c r="C13" s="224" t="s">
        <v>510</v>
      </c>
      <c r="D13" s="224" t="s">
        <v>511</v>
      </c>
      <c r="E13" s="224" t="s">
        <v>512</v>
      </c>
      <c r="F13" s="224" t="s">
        <v>513</v>
      </c>
      <c r="G13" s="224" t="s">
        <v>502</v>
      </c>
      <c r="H13" s="224" t="s">
        <v>496</v>
      </c>
      <c r="I13" s="224" t="s">
        <v>503</v>
      </c>
      <c r="J13" s="226">
        <v>46134.0</v>
      </c>
      <c r="K13" s="224"/>
    </row>
    <row r="14">
      <c r="A14" s="224" t="s">
        <v>514</v>
      </c>
      <c r="B14" s="92"/>
      <c r="C14" s="224" t="s">
        <v>515</v>
      </c>
      <c r="D14" s="224" t="s">
        <v>516</v>
      </c>
      <c r="E14" s="224" t="s">
        <v>517</v>
      </c>
      <c r="F14" s="224" t="s">
        <v>513</v>
      </c>
      <c r="G14" s="224" t="s">
        <v>502</v>
      </c>
      <c r="H14" s="224" t="s">
        <v>496</v>
      </c>
      <c r="I14" s="224" t="s">
        <v>503</v>
      </c>
      <c r="J14" s="226">
        <v>46134.0</v>
      </c>
      <c r="K14" s="224"/>
    </row>
    <row r="15">
      <c r="A15" s="224" t="s">
        <v>518</v>
      </c>
      <c r="B15" s="92"/>
      <c r="C15" s="224" t="s">
        <v>519</v>
      </c>
      <c r="D15" s="224" t="s">
        <v>520</v>
      </c>
      <c r="E15" s="224" t="s">
        <v>521</v>
      </c>
      <c r="F15" s="224" t="s">
        <v>513</v>
      </c>
      <c r="G15" s="224" t="s">
        <v>502</v>
      </c>
      <c r="H15" s="224" t="s">
        <v>496</v>
      </c>
      <c r="I15" s="224" t="s">
        <v>503</v>
      </c>
      <c r="J15" s="226">
        <v>46134.0</v>
      </c>
      <c r="K15" s="224"/>
    </row>
    <row r="16">
      <c r="A16" s="224" t="s">
        <v>522</v>
      </c>
      <c r="B16" s="92"/>
      <c r="C16" s="224" t="s">
        <v>523</v>
      </c>
      <c r="D16" s="224" t="s">
        <v>524</v>
      </c>
      <c r="E16" s="224" t="s">
        <v>525</v>
      </c>
      <c r="F16" s="224" t="s">
        <v>526</v>
      </c>
      <c r="G16" s="224" t="s">
        <v>502</v>
      </c>
      <c r="H16" s="224" t="s">
        <v>496</v>
      </c>
      <c r="I16" s="224" t="s">
        <v>503</v>
      </c>
      <c r="J16" s="226">
        <v>46134.0</v>
      </c>
      <c r="K16" s="224"/>
    </row>
    <row r="17">
      <c r="A17" s="224" t="s">
        <v>527</v>
      </c>
      <c r="B17" s="92"/>
      <c r="C17" s="224" t="s">
        <v>528</v>
      </c>
      <c r="D17" s="224" t="s">
        <v>529</v>
      </c>
      <c r="E17" s="224" t="str">
        <f t="array" ref="E17">-+E15:E17</f>
        <v>#REF!</v>
      </c>
      <c r="F17" s="224" t="s">
        <v>530</v>
      </c>
      <c r="G17" s="224" t="s">
        <v>502</v>
      </c>
      <c r="H17" s="224" t="s">
        <v>496</v>
      </c>
      <c r="I17" s="224" t="s">
        <v>503</v>
      </c>
      <c r="J17" s="226">
        <v>46134.0</v>
      </c>
      <c r="K17" s="224"/>
    </row>
    <row r="18">
      <c r="A18" s="224" t="s">
        <v>531</v>
      </c>
      <c r="B18" s="92"/>
      <c r="C18" s="224" t="s">
        <v>532</v>
      </c>
      <c r="D18" s="224" t="s">
        <v>533</v>
      </c>
      <c r="E18" s="224" t="s">
        <v>196</v>
      </c>
      <c r="F18" s="224" t="s">
        <v>534</v>
      </c>
      <c r="G18" s="224" t="s">
        <v>502</v>
      </c>
      <c r="H18" s="224" t="s">
        <v>496</v>
      </c>
      <c r="I18" s="224" t="s">
        <v>503</v>
      </c>
      <c r="J18" s="226">
        <v>46134.0</v>
      </c>
      <c r="K18" s="224"/>
    </row>
    <row r="19">
      <c r="A19" s="224" t="s">
        <v>535</v>
      </c>
      <c r="B19" s="21"/>
      <c r="C19" s="224" t="s">
        <v>536</v>
      </c>
      <c r="D19" s="224" t="s">
        <v>537</v>
      </c>
      <c r="E19" s="224" t="s">
        <v>196</v>
      </c>
      <c r="F19" s="224" t="s">
        <v>538</v>
      </c>
      <c r="G19" s="224" t="s">
        <v>502</v>
      </c>
      <c r="H19" s="224" t="s">
        <v>509</v>
      </c>
      <c r="I19" s="224" t="s">
        <v>503</v>
      </c>
      <c r="J19" s="226">
        <v>46134.0</v>
      </c>
      <c r="K19" s="224"/>
    </row>
    <row r="20">
      <c r="A20" s="224" t="s">
        <v>539</v>
      </c>
      <c r="B20" s="225" t="s">
        <v>540</v>
      </c>
      <c r="C20" s="224" t="s">
        <v>541</v>
      </c>
      <c r="D20" s="224" t="s">
        <v>542</v>
      </c>
      <c r="E20" s="224" t="s">
        <v>543</v>
      </c>
      <c r="F20" s="224" t="s">
        <v>544</v>
      </c>
      <c r="G20" s="224" t="s">
        <v>502</v>
      </c>
      <c r="H20" s="224" t="s">
        <v>496</v>
      </c>
      <c r="I20" s="224" t="s">
        <v>503</v>
      </c>
      <c r="J20" s="226">
        <v>46134.0</v>
      </c>
      <c r="K20" s="224"/>
    </row>
    <row r="21">
      <c r="A21" s="224" t="s">
        <v>545</v>
      </c>
      <c r="B21" s="92"/>
      <c r="C21" s="224" t="s">
        <v>546</v>
      </c>
      <c r="D21" s="224" t="s">
        <v>547</v>
      </c>
      <c r="E21" s="227" t="s">
        <v>548</v>
      </c>
      <c r="F21" s="224" t="s">
        <v>549</v>
      </c>
      <c r="G21" s="224" t="s">
        <v>502</v>
      </c>
      <c r="H21" s="224" t="s">
        <v>496</v>
      </c>
      <c r="I21" s="224" t="s">
        <v>503</v>
      </c>
      <c r="J21" s="226">
        <v>46134.0</v>
      </c>
      <c r="K21" s="224"/>
    </row>
    <row r="22">
      <c r="A22" s="224" t="s">
        <v>550</v>
      </c>
      <c r="B22" s="92"/>
      <c r="C22" s="224" t="s">
        <v>551</v>
      </c>
      <c r="D22" s="224" t="s">
        <v>552</v>
      </c>
      <c r="E22" s="224" t="s">
        <v>553</v>
      </c>
      <c r="F22" s="224" t="s">
        <v>554</v>
      </c>
      <c r="G22" s="224" t="s">
        <v>502</v>
      </c>
      <c r="H22" s="224" t="s">
        <v>504</v>
      </c>
      <c r="I22" s="224" t="s">
        <v>503</v>
      </c>
      <c r="J22" s="226">
        <v>46134.0</v>
      </c>
      <c r="K22" s="224"/>
    </row>
    <row r="23">
      <c r="A23" s="224" t="s">
        <v>555</v>
      </c>
      <c r="B23" s="92"/>
      <c r="C23" s="224" t="s">
        <v>556</v>
      </c>
      <c r="D23" s="224" t="s">
        <v>557</v>
      </c>
      <c r="E23" s="226">
        <v>47842.0</v>
      </c>
      <c r="F23" s="224" t="s">
        <v>558</v>
      </c>
      <c r="G23" s="224" t="s">
        <v>502</v>
      </c>
      <c r="H23" s="224" t="s">
        <v>496</v>
      </c>
      <c r="I23" s="224" t="s">
        <v>503</v>
      </c>
      <c r="J23" s="226">
        <v>46134.0</v>
      </c>
      <c r="K23" s="224"/>
    </row>
    <row r="24">
      <c r="A24" s="224" t="s">
        <v>559</v>
      </c>
      <c r="B24" s="92"/>
      <c r="C24" s="224" t="s">
        <v>560</v>
      </c>
      <c r="D24" s="224" t="s">
        <v>561</v>
      </c>
      <c r="E24" s="224" t="s">
        <v>562</v>
      </c>
      <c r="F24" s="224" t="s">
        <v>563</v>
      </c>
      <c r="G24" s="224" t="s">
        <v>502</v>
      </c>
      <c r="H24" s="224" t="s">
        <v>509</v>
      </c>
      <c r="I24" s="224" t="s">
        <v>170</v>
      </c>
      <c r="J24" s="226">
        <v>46134.0</v>
      </c>
      <c r="K24" s="224"/>
    </row>
    <row r="25">
      <c r="A25" s="224" t="s">
        <v>564</v>
      </c>
      <c r="B25" s="21"/>
      <c r="C25" s="224" t="s">
        <v>565</v>
      </c>
      <c r="D25" s="224" t="s">
        <v>566</v>
      </c>
      <c r="E25" s="224" t="s">
        <v>567</v>
      </c>
      <c r="F25" s="224" t="s">
        <v>568</v>
      </c>
      <c r="G25" s="224" t="s">
        <v>502</v>
      </c>
      <c r="H25" s="224" t="s">
        <v>496</v>
      </c>
      <c r="I25" s="224" t="s">
        <v>503</v>
      </c>
      <c r="J25" s="226">
        <v>46134.0</v>
      </c>
      <c r="K25" s="224"/>
    </row>
    <row r="26">
      <c r="A26" s="228"/>
      <c r="B26" s="228"/>
      <c r="C26" s="228"/>
      <c r="D26" s="228"/>
      <c r="E26" s="228"/>
      <c r="F26" s="228"/>
      <c r="G26" s="228"/>
      <c r="H26" s="228"/>
      <c r="I26" s="228"/>
      <c r="J26" s="228"/>
      <c r="K26" s="228"/>
    </row>
    <row r="27">
      <c r="A27" s="229"/>
      <c r="B27" s="229"/>
      <c r="C27" s="229"/>
      <c r="D27" s="229"/>
      <c r="E27" s="229"/>
      <c r="F27" s="229"/>
      <c r="G27" s="229"/>
      <c r="H27" s="229"/>
      <c r="I27" s="229"/>
      <c r="J27" s="229"/>
      <c r="K27" s="229"/>
    </row>
    <row r="28">
      <c r="A28" s="230" t="s">
        <v>569</v>
      </c>
      <c r="B28" s="231" t="s">
        <v>570</v>
      </c>
      <c r="C28" s="230" t="s">
        <v>498</v>
      </c>
      <c r="D28" s="230" t="s">
        <v>571</v>
      </c>
      <c r="E28" s="230" t="s">
        <v>572</v>
      </c>
      <c r="F28" s="230" t="s">
        <v>573</v>
      </c>
      <c r="G28" s="230" t="s">
        <v>502</v>
      </c>
      <c r="H28" s="230" t="s">
        <v>189</v>
      </c>
      <c r="I28" s="230" t="s">
        <v>503</v>
      </c>
      <c r="J28" s="232">
        <v>46134.0</v>
      </c>
      <c r="K28" s="230"/>
    </row>
    <row r="29">
      <c r="A29" s="230" t="s">
        <v>574</v>
      </c>
      <c r="B29" s="92"/>
      <c r="C29" s="230" t="s">
        <v>575</v>
      </c>
      <c r="D29" s="230" t="s">
        <v>576</v>
      </c>
      <c r="E29" s="230" t="s">
        <v>577</v>
      </c>
      <c r="F29" s="230" t="s">
        <v>578</v>
      </c>
      <c r="G29" s="230" t="s">
        <v>502</v>
      </c>
      <c r="H29" s="230" t="s">
        <v>569</v>
      </c>
      <c r="I29" s="230" t="s">
        <v>503</v>
      </c>
      <c r="J29" s="232">
        <v>46134.0</v>
      </c>
      <c r="K29" s="230"/>
    </row>
    <row r="30">
      <c r="A30" s="230" t="s">
        <v>579</v>
      </c>
      <c r="B30" s="92"/>
      <c r="C30" s="230" t="s">
        <v>580</v>
      </c>
      <c r="D30" s="230" t="s">
        <v>581</v>
      </c>
      <c r="E30" s="230" t="s">
        <v>196</v>
      </c>
      <c r="F30" s="230" t="s">
        <v>582</v>
      </c>
      <c r="G30" s="230" t="s">
        <v>502</v>
      </c>
      <c r="H30" s="230" t="s">
        <v>569</v>
      </c>
      <c r="I30" s="230" t="s">
        <v>503</v>
      </c>
      <c r="J30" s="232">
        <v>46134.0</v>
      </c>
      <c r="K30" s="230"/>
    </row>
    <row r="31">
      <c r="A31" s="230" t="s">
        <v>583</v>
      </c>
      <c r="B31" s="92"/>
      <c r="C31" s="230" t="s">
        <v>584</v>
      </c>
      <c r="D31" s="230" t="s">
        <v>585</v>
      </c>
      <c r="E31" s="230" t="s">
        <v>196</v>
      </c>
      <c r="F31" s="230" t="s">
        <v>586</v>
      </c>
      <c r="G31" s="230" t="s">
        <v>502</v>
      </c>
      <c r="H31" s="230" t="s">
        <v>569</v>
      </c>
      <c r="I31" s="230" t="s">
        <v>503</v>
      </c>
      <c r="J31" s="232">
        <v>46134.0</v>
      </c>
      <c r="K31" s="230"/>
    </row>
    <row r="32">
      <c r="A32" s="230" t="s">
        <v>587</v>
      </c>
      <c r="B32" s="21"/>
      <c r="C32" s="230" t="s">
        <v>588</v>
      </c>
      <c r="D32" s="230" t="s">
        <v>589</v>
      </c>
      <c r="E32" s="230" t="s">
        <v>196</v>
      </c>
      <c r="F32" s="230" t="s">
        <v>590</v>
      </c>
      <c r="G32" s="230" t="s">
        <v>502</v>
      </c>
      <c r="H32" s="230" t="s">
        <v>569</v>
      </c>
      <c r="I32" s="230" t="s">
        <v>503</v>
      </c>
      <c r="J32" s="232">
        <v>46134.0</v>
      </c>
      <c r="K32" s="230"/>
    </row>
    <row r="33">
      <c r="A33" s="230" t="s">
        <v>591</v>
      </c>
      <c r="B33" s="231" t="s">
        <v>592</v>
      </c>
      <c r="C33" s="230" t="s">
        <v>593</v>
      </c>
      <c r="D33" s="230" t="s">
        <v>594</v>
      </c>
      <c r="E33" s="230" t="s">
        <v>595</v>
      </c>
      <c r="F33" s="230" t="s">
        <v>596</v>
      </c>
      <c r="G33" s="230" t="s">
        <v>502</v>
      </c>
      <c r="H33" s="230" t="s">
        <v>569</v>
      </c>
      <c r="I33" s="230" t="s">
        <v>503</v>
      </c>
      <c r="J33" s="232">
        <v>46134.0</v>
      </c>
      <c r="K33" s="230"/>
    </row>
    <row r="34">
      <c r="A34" s="230" t="s">
        <v>597</v>
      </c>
      <c r="B34" s="92"/>
      <c r="C34" s="230" t="s">
        <v>598</v>
      </c>
      <c r="D34" s="230" t="s">
        <v>599</v>
      </c>
      <c r="E34" s="230" t="s">
        <v>600</v>
      </c>
      <c r="F34" s="230" t="s">
        <v>601</v>
      </c>
      <c r="G34" s="230" t="s">
        <v>502</v>
      </c>
      <c r="H34" s="230" t="s">
        <v>569</v>
      </c>
      <c r="I34" s="230" t="s">
        <v>503</v>
      </c>
      <c r="J34" s="232">
        <v>46134.0</v>
      </c>
      <c r="K34" s="230"/>
    </row>
    <row r="35">
      <c r="A35" s="230" t="s">
        <v>602</v>
      </c>
      <c r="B35" s="92"/>
      <c r="C35" s="230" t="s">
        <v>603</v>
      </c>
      <c r="D35" s="230" t="s">
        <v>604</v>
      </c>
      <c r="E35" s="230" t="s">
        <v>605</v>
      </c>
      <c r="F35" s="230" t="s">
        <v>606</v>
      </c>
      <c r="G35" s="230" t="s">
        <v>502</v>
      </c>
      <c r="H35" s="230" t="s">
        <v>569</v>
      </c>
      <c r="I35" s="230" t="s">
        <v>503</v>
      </c>
      <c r="J35" s="232">
        <v>46134.0</v>
      </c>
      <c r="K35" s="230"/>
    </row>
    <row r="36">
      <c r="A36" s="143" t="s">
        <v>607</v>
      </c>
      <c r="B36" s="92"/>
      <c r="C36" s="230" t="s">
        <v>608</v>
      </c>
      <c r="D36" s="230" t="s">
        <v>609</v>
      </c>
      <c r="E36" s="230" t="s">
        <v>610</v>
      </c>
      <c r="F36" s="230" t="s">
        <v>606</v>
      </c>
      <c r="G36" s="230" t="s">
        <v>502</v>
      </c>
      <c r="H36" s="230" t="s">
        <v>569</v>
      </c>
      <c r="I36" s="230" t="s">
        <v>503</v>
      </c>
      <c r="J36" s="232">
        <v>46134.0</v>
      </c>
      <c r="K36" s="230"/>
    </row>
    <row r="37">
      <c r="A37" s="230" t="s">
        <v>611</v>
      </c>
      <c r="B37" s="21"/>
      <c r="C37" s="230" t="s">
        <v>612</v>
      </c>
      <c r="D37" s="230" t="s">
        <v>613</v>
      </c>
      <c r="E37" s="230" t="s">
        <v>614</v>
      </c>
      <c r="F37" s="230" t="s">
        <v>615</v>
      </c>
      <c r="G37" s="230" t="s">
        <v>502</v>
      </c>
      <c r="H37" s="230" t="s">
        <v>569</v>
      </c>
      <c r="I37" s="230" t="s">
        <v>503</v>
      </c>
      <c r="J37" s="232">
        <v>46134.0</v>
      </c>
      <c r="K37" s="230"/>
    </row>
    <row r="38">
      <c r="A38" s="233"/>
      <c r="B38" s="234"/>
      <c r="C38" s="233"/>
      <c r="D38" s="233"/>
      <c r="E38" s="233"/>
      <c r="F38" s="233"/>
      <c r="G38" s="233"/>
      <c r="H38" s="233"/>
      <c r="I38" s="233"/>
      <c r="J38" s="233"/>
      <c r="K38" s="233"/>
    </row>
    <row r="39">
      <c r="A39" s="229"/>
      <c r="B39" s="229"/>
      <c r="C39" s="229"/>
      <c r="D39" s="229"/>
      <c r="E39" s="229"/>
      <c r="F39" s="229"/>
      <c r="G39" s="229"/>
      <c r="H39" s="229"/>
      <c r="I39" s="229"/>
      <c r="J39" s="229"/>
      <c r="K39" s="229"/>
    </row>
    <row r="40">
      <c r="A40" s="230" t="s">
        <v>616</v>
      </c>
      <c r="B40" s="231" t="s">
        <v>617</v>
      </c>
      <c r="C40" s="230" t="s">
        <v>618</v>
      </c>
      <c r="D40" s="230" t="s">
        <v>619</v>
      </c>
      <c r="E40" s="230" t="s">
        <v>196</v>
      </c>
      <c r="F40" s="230" t="s">
        <v>620</v>
      </c>
      <c r="G40" s="230" t="s">
        <v>502</v>
      </c>
      <c r="H40" s="230" t="s">
        <v>189</v>
      </c>
      <c r="I40" s="230" t="s">
        <v>503</v>
      </c>
      <c r="J40" s="232">
        <v>46134.0</v>
      </c>
      <c r="K40" s="230"/>
    </row>
    <row r="41">
      <c r="A41" s="230" t="s">
        <v>621</v>
      </c>
      <c r="B41" s="21"/>
      <c r="C41" s="230" t="s">
        <v>622</v>
      </c>
      <c r="D41" s="230" t="s">
        <v>623</v>
      </c>
      <c r="E41" s="230" t="s">
        <v>196</v>
      </c>
      <c r="F41" s="230" t="s">
        <v>624</v>
      </c>
      <c r="G41" s="230" t="s">
        <v>502</v>
      </c>
      <c r="H41" s="230" t="s">
        <v>616</v>
      </c>
      <c r="I41" s="230" t="s">
        <v>503</v>
      </c>
      <c r="J41" s="232">
        <v>46134.0</v>
      </c>
      <c r="K41" s="230"/>
    </row>
    <row r="42">
      <c r="A42" s="230" t="s">
        <v>625</v>
      </c>
      <c r="B42" s="230" t="s">
        <v>626</v>
      </c>
      <c r="C42" s="230" t="s">
        <v>627</v>
      </c>
      <c r="D42" s="230" t="s">
        <v>628</v>
      </c>
      <c r="E42" s="230" t="s">
        <v>196</v>
      </c>
      <c r="F42" s="230" t="s">
        <v>629</v>
      </c>
      <c r="G42" s="230" t="s">
        <v>502</v>
      </c>
      <c r="H42" s="230" t="s">
        <v>616</v>
      </c>
      <c r="I42" s="230" t="s">
        <v>503</v>
      </c>
      <c r="J42" s="232">
        <v>46134.0</v>
      </c>
      <c r="K42" s="230"/>
    </row>
    <row r="43">
      <c r="A43" s="230" t="s">
        <v>630</v>
      </c>
      <c r="B43" s="230" t="s">
        <v>631</v>
      </c>
      <c r="C43" s="230" t="s">
        <v>631</v>
      </c>
      <c r="D43" s="230" t="s">
        <v>632</v>
      </c>
      <c r="E43" s="230" t="s">
        <v>196</v>
      </c>
      <c r="F43" s="230" t="s">
        <v>633</v>
      </c>
      <c r="G43" s="230" t="s">
        <v>502</v>
      </c>
      <c r="H43" s="230" t="s">
        <v>616</v>
      </c>
      <c r="I43" s="230" t="s">
        <v>170</v>
      </c>
      <c r="J43" s="232">
        <v>46134.0</v>
      </c>
      <c r="K43" s="230"/>
    </row>
    <row r="44">
      <c r="A44" s="229"/>
      <c r="B44" s="229"/>
      <c r="C44" s="229"/>
      <c r="D44" s="229"/>
      <c r="E44" s="229"/>
      <c r="F44" s="229"/>
      <c r="G44" s="229"/>
      <c r="H44" s="229"/>
      <c r="I44" s="229"/>
      <c r="J44" s="229"/>
      <c r="K44" s="229"/>
    </row>
    <row r="45">
      <c r="A45" s="233"/>
      <c r="B45" s="233"/>
      <c r="C45" s="233"/>
      <c r="D45" s="233"/>
      <c r="E45" s="233"/>
      <c r="F45" s="233"/>
      <c r="G45" s="233"/>
      <c r="H45" s="233"/>
      <c r="I45" s="233"/>
      <c r="J45" s="233"/>
      <c r="K45" s="233"/>
    </row>
    <row r="46">
      <c r="A46" s="230" t="s">
        <v>634</v>
      </c>
      <c r="B46" s="231" t="s">
        <v>635</v>
      </c>
      <c r="C46" s="230" t="s">
        <v>498</v>
      </c>
      <c r="D46" s="230" t="s">
        <v>636</v>
      </c>
      <c r="E46" s="230" t="s">
        <v>637</v>
      </c>
      <c r="F46" s="230" t="s">
        <v>638</v>
      </c>
      <c r="G46" s="230" t="s">
        <v>189</v>
      </c>
      <c r="H46" s="143"/>
      <c r="I46" s="230" t="s">
        <v>503</v>
      </c>
      <c r="J46" s="232">
        <v>46134.0</v>
      </c>
      <c r="K46" s="230"/>
    </row>
    <row r="47">
      <c r="A47" s="230" t="s">
        <v>639</v>
      </c>
      <c r="B47" s="92"/>
      <c r="C47" s="230" t="s">
        <v>640</v>
      </c>
      <c r="D47" s="230" t="s">
        <v>641</v>
      </c>
      <c r="E47" s="230" t="s">
        <v>642</v>
      </c>
      <c r="F47" s="230" t="s">
        <v>643</v>
      </c>
      <c r="G47" s="230" t="s">
        <v>634</v>
      </c>
      <c r="H47" s="143"/>
      <c r="I47" s="230" t="s">
        <v>503</v>
      </c>
      <c r="J47" s="232">
        <v>46134.0</v>
      </c>
      <c r="K47" s="230"/>
    </row>
    <row r="48">
      <c r="A48" s="230" t="s">
        <v>644</v>
      </c>
      <c r="B48" s="21"/>
      <c r="C48" s="230" t="s">
        <v>645</v>
      </c>
      <c r="D48" s="230" t="s">
        <v>646</v>
      </c>
      <c r="E48" s="230" t="s">
        <v>196</v>
      </c>
      <c r="F48" s="230" t="s">
        <v>647</v>
      </c>
      <c r="G48" s="230" t="s">
        <v>634</v>
      </c>
      <c r="H48" s="143"/>
      <c r="I48" s="230" t="s">
        <v>503</v>
      </c>
      <c r="J48" s="232">
        <v>46134.0</v>
      </c>
      <c r="K48" s="230"/>
    </row>
    <row r="49">
      <c r="A49" s="230" t="s">
        <v>648</v>
      </c>
      <c r="B49" s="231" t="s">
        <v>649</v>
      </c>
      <c r="C49" s="230" t="s">
        <v>541</v>
      </c>
      <c r="D49" s="230" t="s">
        <v>650</v>
      </c>
      <c r="E49" s="230" t="s">
        <v>543</v>
      </c>
      <c r="F49" s="230" t="s">
        <v>651</v>
      </c>
      <c r="G49" s="230" t="s">
        <v>634</v>
      </c>
      <c r="H49" s="143"/>
      <c r="I49" s="230" t="s">
        <v>503</v>
      </c>
      <c r="J49" s="232">
        <v>46134.0</v>
      </c>
      <c r="K49" s="230"/>
    </row>
    <row r="50">
      <c r="A50" s="230" t="s">
        <v>652</v>
      </c>
      <c r="B50" s="92"/>
      <c r="C50" s="230" t="s">
        <v>653</v>
      </c>
      <c r="D50" s="230" t="s">
        <v>654</v>
      </c>
      <c r="E50" s="230" t="s">
        <v>655</v>
      </c>
      <c r="F50" s="230" t="s">
        <v>656</v>
      </c>
      <c r="G50" s="230" t="s">
        <v>634</v>
      </c>
      <c r="H50" s="143"/>
      <c r="I50" s="230" t="s">
        <v>503</v>
      </c>
      <c r="J50" s="232">
        <v>46134.0</v>
      </c>
      <c r="K50" s="230"/>
    </row>
    <row r="51">
      <c r="A51" s="230" t="s">
        <v>657</v>
      </c>
      <c r="B51" s="92"/>
      <c r="C51" s="230" t="s">
        <v>658</v>
      </c>
      <c r="D51" s="230" t="s">
        <v>659</v>
      </c>
      <c r="E51" s="230" t="s">
        <v>660</v>
      </c>
      <c r="F51" s="230" t="s">
        <v>656</v>
      </c>
      <c r="G51" s="230" t="s">
        <v>634</v>
      </c>
      <c r="H51" s="143"/>
      <c r="I51" s="230" t="s">
        <v>503</v>
      </c>
      <c r="J51" s="232">
        <v>46134.0</v>
      </c>
      <c r="K51" s="230"/>
    </row>
    <row r="52">
      <c r="A52" s="230" t="s">
        <v>661</v>
      </c>
      <c r="B52" s="92"/>
      <c r="C52" s="230" t="s">
        <v>614</v>
      </c>
      <c r="D52" s="230" t="s">
        <v>662</v>
      </c>
      <c r="E52" s="230" t="s">
        <v>614</v>
      </c>
      <c r="F52" s="230" t="s">
        <v>663</v>
      </c>
      <c r="G52" s="230" t="s">
        <v>634</v>
      </c>
      <c r="H52" s="143"/>
      <c r="I52" s="230" t="s">
        <v>503</v>
      </c>
      <c r="J52" s="232">
        <v>46134.0</v>
      </c>
      <c r="K52" s="230"/>
    </row>
    <row r="53">
      <c r="A53" s="230" t="s">
        <v>664</v>
      </c>
      <c r="B53" s="92"/>
      <c r="C53" s="230" t="s">
        <v>665</v>
      </c>
      <c r="D53" s="230" t="s">
        <v>666</v>
      </c>
      <c r="E53" s="230" t="s">
        <v>667</v>
      </c>
      <c r="F53" s="230" t="s">
        <v>668</v>
      </c>
      <c r="G53" s="230" t="s">
        <v>634</v>
      </c>
      <c r="H53" s="143"/>
      <c r="I53" s="230" t="s">
        <v>503</v>
      </c>
      <c r="J53" s="232">
        <v>46134.0</v>
      </c>
      <c r="K53" s="230"/>
    </row>
    <row r="54">
      <c r="A54" s="230" t="s">
        <v>669</v>
      </c>
      <c r="B54" s="21"/>
      <c r="C54" s="230" t="s">
        <v>670</v>
      </c>
      <c r="D54" s="230" t="s">
        <v>671</v>
      </c>
      <c r="E54" s="230" t="s">
        <v>672</v>
      </c>
      <c r="F54" s="230" t="s">
        <v>673</v>
      </c>
      <c r="G54" s="230" t="s">
        <v>634</v>
      </c>
      <c r="H54" s="143"/>
      <c r="I54" s="230" t="s">
        <v>503</v>
      </c>
      <c r="J54" s="232">
        <v>46134.0</v>
      </c>
      <c r="K54" s="230"/>
    </row>
    <row r="55">
      <c r="A55" s="229"/>
      <c r="B55" s="229"/>
      <c r="C55" s="229"/>
      <c r="D55" s="229"/>
      <c r="E55" s="229"/>
      <c r="F55" s="229"/>
      <c r="G55" s="229"/>
      <c r="H55" s="229"/>
      <c r="I55" s="229"/>
      <c r="J55" s="229"/>
      <c r="K55" s="229"/>
    </row>
    <row r="56">
      <c r="A56" s="222"/>
      <c r="B56" s="222"/>
      <c r="C56" s="222"/>
      <c r="D56" s="222"/>
      <c r="E56" s="222"/>
      <c r="F56" s="222"/>
      <c r="G56" s="222"/>
      <c r="H56" s="222"/>
      <c r="I56" s="222"/>
      <c r="J56" s="222"/>
      <c r="K56" s="222"/>
    </row>
    <row r="57">
      <c r="A57" s="222"/>
      <c r="B57" s="222"/>
      <c r="C57" s="222"/>
      <c r="D57" s="222"/>
      <c r="E57" s="222"/>
      <c r="F57" s="222"/>
      <c r="G57" s="222"/>
      <c r="H57" s="222"/>
      <c r="I57" s="222"/>
      <c r="J57" s="222"/>
      <c r="K57" s="222"/>
    </row>
    <row r="58">
      <c r="A58" s="222"/>
      <c r="B58" s="222"/>
      <c r="C58" s="222"/>
      <c r="D58" s="222"/>
      <c r="E58" s="222"/>
      <c r="F58" s="222"/>
      <c r="G58" s="222"/>
      <c r="H58" s="222"/>
      <c r="I58" s="222"/>
      <c r="J58" s="222"/>
      <c r="K58" s="222"/>
    </row>
    <row r="59">
      <c r="A59" s="222"/>
      <c r="B59" s="222"/>
      <c r="C59" s="222"/>
      <c r="D59" s="222"/>
      <c r="E59" s="222"/>
      <c r="F59" s="222"/>
      <c r="G59" s="222"/>
      <c r="H59" s="222"/>
      <c r="I59" s="222"/>
      <c r="J59" s="222"/>
      <c r="K59" s="222"/>
    </row>
    <row r="60">
      <c r="A60" s="222"/>
      <c r="B60" s="222"/>
      <c r="C60" s="222"/>
      <c r="D60" s="222"/>
      <c r="E60" s="222"/>
      <c r="F60" s="222"/>
      <c r="G60" s="222"/>
      <c r="H60" s="222"/>
      <c r="I60" s="222"/>
      <c r="J60" s="222"/>
      <c r="K60" s="222"/>
    </row>
    <row r="61">
      <c r="A61" s="222"/>
      <c r="B61" s="222"/>
      <c r="C61" s="222"/>
      <c r="D61" s="222"/>
      <c r="E61" s="222"/>
      <c r="F61" s="222"/>
      <c r="G61" s="222"/>
      <c r="H61" s="222"/>
      <c r="I61" s="222"/>
      <c r="J61" s="222"/>
      <c r="K61" s="222"/>
    </row>
  </sheetData>
  <mergeCells count="16">
    <mergeCell ref="B2:I2"/>
    <mergeCell ref="B3:I3"/>
    <mergeCell ref="C4:D4"/>
    <mergeCell ref="E4:F4"/>
    <mergeCell ref="G4:I4"/>
    <mergeCell ref="C5:D5"/>
    <mergeCell ref="E5:F5"/>
    <mergeCell ref="B46:B48"/>
    <mergeCell ref="B49:B54"/>
    <mergeCell ref="G5:I5"/>
    <mergeCell ref="A10:K10"/>
    <mergeCell ref="B11:B19"/>
    <mergeCell ref="B20:B25"/>
    <mergeCell ref="B28:B32"/>
    <mergeCell ref="B33:B37"/>
    <mergeCell ref="B40:B41"/>
  </mergeCells>
  <dataValidations>
    <dataValidation type="list" allowBlank="1" showErrorMessage="1" sqref="I7">
      <formula1>$O$2:$O$6</formula1>
    </dataValidation>
  </dataValidations>
  <hyperlinks>
    <hyperlink r:id="rId1" ref="E21"/>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53.57"/>
    <col customWidth="1" min="3" max="3" width="77.57"/>
    <col customWidth="1" min="4" max="4" width="52.43"/>
    <col customWidth="1" min="5" max="6" width="96.14"/>
    <col customWidth="1" min="7" max="7" width="93.43"/>
    <col customWidth="1" min="8" max="8" width="52.86"/>
    <col customWidth="1" min="9" max="9" width="19.0"/>
    <col customWidth="1" min="10" max="12" width="15.86"/>
    <col customWidth="1" min="13" max="26" width="10.29"/>
  </cols>
  <sheetData>
    <row r="1" ht="12.75" customHeight="1">
      <c r="A1" s="235"/>
      <c r="B1" s="235"/>
      <c r="C1" s="235"/>
      <c r="D1" s="235"/>
      <c r="E1" s="235"/>
      <c r="F1" s="236"/>
      <c r="G1" s="236"/>
      <c r="H1" s="235"/>
      <c r="I1" s="235"/>
      <c r="J1" s="235"/>
      <c r="K1" s="235"/>
      <c r="L1" s="235"/>
      <c r="M1" s="235"/>
      <c r="N1" s="235"/>
      <c r="O1" s="235"/>
      <c r="P1" s="235"/>
      <c r="Q1" s="235"/>
      <c r="R1" s="235"/>
      <c r="S1" s="235"/>
      <c r="T1" s="235"/>
      <c r="U1" s="235"/>
      <c r="V1" s="235"/>
      <c r="W1" s="235"/>
      <c r="X1" s="235"/>
      <c r="Y1" s="235"/>
      <c r="Z1" s="235"/>
    </row>
    <row r="2" ht="12.75" customHeight="1">
      <c r="A2" s="237" t="s">
        <v>166</v>
      </c>
      <c r="B2" s="238"/>
      <c r="C2" s="239"/>
      <c r="D2" s="239"/>
      <c r="E2" s="239"/>
      <c r="F2" s="239"/>
      <c r="G2" s="239"/>
      <c r="H2" s="239"/>
      <c r="I2" s="240"/>
      <c r="J2" s="235"/>
      <c r="K2" s="235"/>
      <c r="L2" s="235"/>
      <c r="M2" s="235"/>
      <c r="N2" s="235"/>
      <c r="O2" s="241" t="s">
        <v>168</v>
      </c>
      <c r="P2" s="235"/>
      <c r="Q2" s="235"/>
      <c r="R2" s="235"/>
      <c r="S2" s="235"/>
      <c r="T2" s="235"/>
      <c r="U2" s="235"/>
      <c r="V2" s="235"/>
      <c r="W2" s="235"/>
      <c r="X2" s="235"/>
      <c r="Y2" s="235"/>
      <c r="Z2" s="235"/>
    </row>
    <row r="3" ht="12.75" customHeight="1">
      <c r="A3" s="242" t="s">
        <v>169</v>
      </c>
      <c r="B3" s="243"/>
      <c r="C3" s="6"/>
      <c r="D3" s="6"/>
      <c r="E3" s="6"/>
      <c r="F3" s="6"/>
      <c r="G3" s="6"/>
      <c r="H3" s="6"/>
      <c r="I3" s="244"/>
      <c r="J3" s="235"/>
      <c r="K3" s="235"/>
      <c r="L3" s="235"/>
      <c r="M3" s="235"/>
      <c r="N3" s="235"/>
      <c r="O3" s="245" t="s">
        <v>170</v>
      </c>
      <c r="P3" s="235"/>
      <c r="Q3" s="235"/>
      <c r="R3" s="235"/>
      <c r="S3" s="235"/>
      <c r="T3" s="235"/>
      <c r="U3" s="235"/>
      <c r="V3" s="235"/>
      <c r="W3" s="235"/>
      <c r="X3" s="235"/>
      <c r="Y3" s="235"/>
      <c r="Z3" s="235"/>
    </row>
    <row r="4" ht="12.75" customHeight="1">
      <c r="A4" s="242" t="s">
        <v>171</v>
      </c>
      <c r="B4" s="243" t="s">
        <v>172</v>
      </c>
      <c r="C4" s="6"/>
      <c r="D4" s="6"/>
      <c r="E4" s="6"/>
      <c r="F4" s="6"/>
      <c r="G4" s="6"/>
      <c r="H4" s="6"/>
      <c r="I4" s="244"/>
      <c r="J4" s="235"/>
      <c r="K4" s="235"/>
      <c r="L4" s="235"/>
      <c r="M4" s="235"/>
      <c r="N4" s="235"/>
      <c r="O4" s="246" t="s">
        <v>173</v>
      </c>
      <c r="P4" s="235"/>
      <c r="Q4" s="235"/>
      <c r="R4" s="235"/>
      <c r="S4" s="235"/>
      <c r="T4" s="235"/>
      <c r="U4" s="235"/>
      <c r="V4" s="235"/>
      <c r="W4" s="235"/>
      <c r="X4" s="235"/>
      <c r="Y4" s="235"/>
      <c r="Z4" s="235"/>
    </row>
    <row r="5" ht="15.0" customHeight="1">
      <c r="A5" s="247" t="s">
        <v>168</v>
      </c>
      <c r="B5" s="248" t="s">
        <v>170</v>
      </c>
      <c r="C5" s="249" t="s">
        <v>174</v>
      </c>
      <c r="D5" s="7"/>
      <c r="E5" s="250" t="s">
        <v>175</v>
      </c>
      <c r="F5" s="7"/>
      <c r="G5" s="251" t="s">
        <v>176</v>
      </c>
      <c r="H5" s="6"/>
      <c r="I5" s="244"/>
      <c r="J5" s="235"/>
      <c r="K5" s="252">
        <f>NOW()</f>
        <v>46202.24998</v>
      </c>
      <c r="L5" s="253"/>
      <c r="M5" s="235"/>
      <c r="N5" s="235"/>
      <c r="O5" s="235" t="s">
        <v>177</v>
      </c>
      <c r="P5" s="235"/>
      <c r="Q5" s="235"/>
      <c r="R5" s="235"/>
      <c r="S5" s="235"/>
      <c r="T5" s="235"/>
      <c r="U5" s="235"/>
      <c r="V5" s="235"/>
      <c r="W5" s="235"/>
      <c r="X5" s="235"/>
      <c r="Y5" s="235"/>
      <c r="Z5" s="235"/>
    </row>
    <row r="6" ht="15.75" customHeight="1">
      <c r="A6" s="254">
        <f>COUNTIF(I9:I926,"Pass")</f>
        <v>5</v>
      </c>
      <c r="B6" s="255">
        <f>COUNTIF(I9:I926,"Fail")</f>
        <v>0</v>
      </c>
      <c r="C6" s="256">
        <f>G6-E6-B6-A6</f>
        <v>2</v>
      </c>
      <c r="D6" s="257"/>
      <c r="E6" s="256">
        <f>COUNTIF(I$9:I$926,"N/A")</f>
        <v>0</v>
      </c>
      <c r="F6" s="257"/>
      <c r="G6" s="258">
        <f>COUNTA(A9:A926)</f>
        <v>7</v>
      </c>
      <c r="H6" s="259"/>
      <c r="I6" s="260"/>
      <c r="J6" s="235"/>
      <c r="K6" s="235"/>
      <c r="L6" s="235"/>
      <c r="M6" s="235"/>
      <c r="N6" s="235"/>
      <c r="O6" s="235"/>
      <c r="P6" s="235"/>
      <c r="Q6" s="235"/>
      <c r="R6" s="235"/>
      <c r="S6" s="235"/>
      <c r="T6" s="235"/>
      <c r="U6" s="235"/>
      <c r="V6" s="235"/>
      <c r="W6" s="235"/>
      <c r="X6" s="235"/>
      <c r="Y6" s="235"/>
      <c r="Z6" s="235"/>
    </row>
    <row r="7" ht="12.75" customHeight="1">
      <c r="A7" s="261"/>
      <c r="B7" s="262"/>
      <c r="C7" s="263"/>
      <c r="D7" s="263"/>
      <c r="E7" s="264"/>
      <c r="F7" s="265"/>
      <c r="G7" s="265"/>
      <c r="H7" s="266"/>
      <c r="I7" s="267"/>
      <c r="J7" s="235"/>
      <c r="K7" s="235"/>
      <c r="L7" s="235"/>
      <c r="M7" s="235"/>
      <c r="N7" s="235"/>
      <c r="O7" s="235"/>
      <c r="P7" s="235"/>
      <c r="Q7" s="235"/>
      <c r="R7" s="235"/>
      <c r="S7" s="235"/>
      <c r="T7" s="235"/>
      <c r="U7" s="235"/>
      <c r="V7" s="235"/>
      <c r="W7" s="235"/>
      <c r="X7" s="235"/>
      <c r="Y7" s="235"/>
      <c r="Z7" s="235"/>
    </row>
    <row r="8" ht="12.75" customHeight="1">
      <c r="A8" s="268"/>
      <c r="B8" s="268"/>
      <c r="C8" s="268"/>
      <c r="D8" s="268"/>
      <c r="E8" s="268"/>
      <c r="F8" s="268"/>
      <c r="G8" s="268"/>
      <c r="H8" s="268"/>
      <c r="I8" s="269"/>
      <c r="J8" s="268"/>
      <c r="K8" s="268"/>
      <c r="L8" s="270"/>
      <c r="M8" s="269"/>
      <c r="N8" s="270"/>
      <c r="O8" s="270"/>
      <c r="P8" s="270"/>
      <c r="Q8" s="270"/>
      <c r="R8" s="270"/>
      <c r="S8" s="270"/>
      <c r="T8" s="270"/>
      <c r="U8" s="270"/>
      <c r="V8" s="270"/>
      <c r="W8" s="270"/>
      <c r="X8" s="270"/>
      <c r="Y8" s="270"/>
      <c r="Z8" s="270"/>
    </row>
    <row r="9">
      <c r="A9" s="194" t="s">
        <v>178</v>
      </c>
      <c r="B9" s="194" t="s">
        <v>179</v>
      </c>
      <c r="C9" s="194" t="s">
        <v>180</v>
      </c>
      <c r="D9" s="271" t="s">
        <v>181</v>
      </c>
      <c r="E9" s="271" t="s">
        <v>182</v>
      </c>
      <c r="F9" s="194" t="s">
        <v>183</v>
      </c>
      <c r="G9" s="194" t="s">
        <v>184</v>
      </c>
      <c r="H9" s="194" t="s">
        <v>185</v>
      </c>
      <c r="I9" s="194" t="s">
        <v>186</v>
      </c>
      <c r="J9" s="194" t="s">
        <v>187</v>
      </c>
      <c r="K9" s="194" t="s">
        <v>309</v>
      </c>
      <c r="L9" s="168"/>
      <c r="M9" s="272"/>
      <c r="N9" s="150"/>
      <c r="O9" s="150"/>
      <c r="P9" s="150"/>
      <c r="Q9" s="150"/>
      <c r="R9" s="150"/>
      <c r="S9" s="150"/>
      <c r="T9" s="150"/>
      <c r="U9" s="150"/>
      <c r="V9" s="150"/>
      <c r="W9" s="150"/>
      <c r="X9" s="150"/>
      <c r="Y9" s="150"/>
      <c r="Z9" s="150"/>
    </row>
    <row r="10">
      <c r="A10" s="273" t="s">
        <v>674</v>
      </c>
      <c r="B10" s="274"/>
      <c r="C10" s="274"/>
      <c r="D10" s="274"/>
      <c r="E10" s="274"/>
      <c r="F10" s="274"/>
      <c r="G10" s="274"/>
      <c r="H10" s="274"/>
      <c r="I10" s="274"/>
      <c r="J10" s="274"/>
      <c r="K10" s="274"/>
      <c r="L10" s="274"/>
      <c r="M10" s="274"/>
      <c r="N10" s="274"/>
      <c r="O10" s="274"/>
      <c r="P10" s="274"/>
      <c r="Q10" s="274"/>
      <c r="R10" s="274"/>
      <c r="S10" s="274"/>
      <c r="T10" s="274"/>
      <c r="U10" s="274"/>
      <c r="V10" s="274"/>
      <c r="W10" s="274"/>
      <c r="X10" s="274"/>
      <c r="Y10" s="274"/>
      <c r="Z10" s="275"/>
    </row>
    <row r="11" ht="30.75" customHeight="1">
      <c r="A11" s="186" t="s">
        <v>675</v>
      </c>
      <c r="B11" s="276"/>
      <c r="C11" s="199" t="s">
        <v>676</v>
      </c>
      <c r="D11" s="277" t="s">
        <v>677</v>
      </c>
      <c r="E11" s="277" t="s">
        <v>678</v>
      </c>
      <c r="F11" s="199" t="s">
        <v>679</v>
      </c>
      <c r="G11" s="199" t="s">
        <v>679</v>
      </c>
      <c r="H11" s="199" t="s">
        <v>317</v>
      </c>
      <c r="I11" s="199" t="s">
        <v>168</v>
      </c>
      <c r="J11" s="278">
        <v>44976.0</v>
      </c>
      <c r="K11" s="202"/>
      <c r="L11" s="150"/>
      <c r="M11" s="150"/>
      <c r="N11" s="150"/>
      <c r="O11" s="150"/>
      <c r="P11" s="150"/>
      <c r="Q11" s="150"/>
      <c r="R11" s="150"/>
      <c r="S11" s="150"/>
      <c r="T11" s="150"/>
      <c r="U11" s="150"/>
      <c r="V11" s="150"/>
      <c r="W11" s="150"/>
      <c r="X11" s="150"/>
      <c r="Y11" s="150"/>
      <c r="Z11" s="150"/>
    </row>
    <row r="12" ht="31.5" customHeight="1">
      <c r="A12" s="92"/>
      <c r="B12" s="92"/>
      <c r="C12" s="92"/>
      <c r="D12" s="92"/>
      <c r="E12" s="92"/>
      <c r="F12" s="92"/>
      <c r="G12" s="92"/>
      <c r="H12" s="92"/>
      <c r="I12" s="92"/>
      <c r="J12" s="92"/>
      <c r="K12" s="202"/>
      <c r="L12" s="150"/>
      <c r="M12" s="150"/>
      <c r="N12" s="150"/>
      <c r="O12" s="150"/>
      <c r="P12" s="150"/>
      <c r="Q12" s="150"/>
      <c r="R12" s="150"/>
      <c r="S12" s="150"/>
      <c r="T12" s="150"/>
      <c r="U12" s="150"/>
      <c r="V12" s="150"/>
      <c r="W12" s="150"/>
      <c r="X12" s="150"/>
      <c r="Y12" s="150"/>
      <c r="Z12" s="150"/>
    </row>
    <row r="13" ht="30.0" customHeight="1">
      <c r="A13" s="21"/>
      <c r="B13" s="92"/>
      <c r="C13" s="21"/>
      <c r="D13" s="21"/>
      <c r="E13" s="21"/>
      <c r="F13" s="21"/>
      <c r="G13" s="21"/>
      <c r="H13" s="21"/>
      <c r="I13" s="21"/>
      <c r="J13" s="21"/>
      <c r="K13" s="202"/>
      <c r="L13" s="150"/>
      <c r="M13" s="150"/>
      <c r="N13" s="150"/>
      <c r="O13" s="150"/>
      <c r="P13" s="150"/>
      <c r="Q13" s="150"/>
      <c r="R13" s="150"/>
      <c r="S13" s="150"/>
      <c r="T13" s="150"/>
      <c r="U13" s="150"/>
      <c r="V13" s="150"/>
      <c r="W13" s="150"/>
      <c r="X13" s="150"/>
      <c r="Y13" s="150"/>
      <c r="Z13" s="150"/>
    </row>
    <row r="14" ht="21.75" customHeight="1">
      <c r="A14" s="186" t="s">
        <v>680</v>
      </c>
      <c r="B14" s="92"/>
      <c r="C14" s="199" t="s">
        <v>681</v>
      </c>
      <c r="D14" s="277" t="s">
        <v>682</v>
      </c>
      <c r="E14" s="277" t="s">
        <v>683</v>
      </c>
      <c r="F14" s="199" t="s">
        <v>684</v>
      </c>
      <c r="G14" s="199" t="s">
        <v>684</v>
      </c>
      <c r="H14" s="199" t="s">
        <v>317</v>
      </c>
      <c r="I14" s="199" t="s">
        <v>168</v>
      </c>
      <c r="J14" s="278">
        <v>44977.0</v>
      </c>
      <c r="K14" s="202"/>
      <c r="L14" s="150"/>
      <c r="M14" s="150"/>
      <c r="N14" s="150"/>
      <c r="O14" s="150"/>
      <c r="P14" s="150"/>
      <c r="Q14" s="150"/>
      <c r="R14" s="150"/>
      <c r="S14" s="150"/>
      <c r="T14" s="150"/>
      <c r="U14" s="150"/>
      <c r="V14" s="150"/>
      <c r="W14" s="150"/>
      <c r="X14" s="150"/>
      <c r="Y14" s="150"/>
      <c r="Z14" s="150"/>
    </row>
    <row r="15" ht="30.75" customHeight="1">
      <c r="A15" s="92"/>
      <c r="B15" s="92"/>
      <c r="C15" s="92"/>
      <c r="D15" s="92"/>
      <c r="E15" s="92"/>
      <c r="F15" s="92"/>
      <c r="G15" s="92"/>
      <c r="H15" s="92"/>
      <c r="I15" s="92"/>
      <c r="J15" s="92"/>
      <c r="K15" s="202"/>
      <c r="L15" s="150"/>
      <c r="M15" s="150"/>
      <c r="N15" s="150"/>
      <c r="O15" s="150"/>
      <c r="P15" s="150"/>
      <c r="Q15" s="150"/>
      <c r="R15" s="150"/>
      <c r="S15" s="150"/>
      <c r="T15" s="150"/>
      <c r="U15" s="150"/>
      <c r="V15" s="150"/>
      <c r="W15" s="150"/>
      <c r="X15" s="150"/>
      <c r="Y15" s="150"/>
      <c r="Z15" s="150"/>
    </row>
    <row r="16" ht="27.0" customHeight="1">
      <c r="A16" s="92"/>
      <c r="B16" s="92"/>
      <c r="C16" s="92"/>
      <c r="D16" s="92"/>
      <c r="E16" s="92"/>
      <c r="F16" s="92"/>
      <c r="G16" s="92"/>
      <c r="H16" s="92"/>
      <c r="I16" s="92"/>
      <c r="J16" s="92"/>
      <c r="K16" s="202"/>
      <c r="L16" s="150"/>
      <c r="M16" s="150"/>
      <c r="N16" s="150"/>
      <c r="O16" s="150"/>
      <c r="P16" s="150"/>
      <c r="Q16" s="150"/>
      <c r="R16" s="150"/>
      <c r="S16" s="150"/>
      <c r="T16" s="150"/>
      <c r="U16" s="150"/>
      <c r="V16" s="150"/>
      <c r="W16" s="150"/>
      <c r="X16" s="150"/>
      <c r="Y16" s="150"/>
      <c r="Z16" s="150"/>
    </row>
    <row r="17" ht="37.5" customHeight="1">
      <c r="A17" s="21"/>
      <c r="B17" s="92"/>
      <c r="C17" s="21"/>
      <c r="D17" s="21"/>
      <c r="E17" s="21"/>
      <c r="F17" s="21"/>
      <c r="G17" s="21"/>
      <c r="H17" s="21"/>
      <c r="I17" s="21"/>
      <c r="J17" s="21"/>
      <c r="K17" s="202"/>
      <c r="L17" s="150"/>
      <c r="M17" s="150"/>
      <c r="N17" s="150"/>
      <c r="O17" s="150"/>
      <c r="P17" s="150"/>
      <c r="Q17" s="150"/>
      <c r="R17" s="150"/>
      <c r="S17" s="150"/>
      <c r="T17" s="150"/>
      <c r="U17" s="150"/>
      <c r="V17" s="150"/>
      <c r="W17" s="150"/>
      <c r="X17" s="150"/>
      <c r="Y17" s="150"/>
      <c r="Z17" s="150"/>
    </row>
    <row r="18">
      <c r="A18" s="186" t="s">
        <v>685</v>
      </c>
      <c r="B18" s="92"/>
      <c r="C18" s="199" t="s">
        <v>686</v>
      </c>
      <c r="D18" s="277" t="s">
        <v>687</v>
      </c>
      <c r="E18" s="277" t="s">
        <v>688</v>
      </c>
      <c r="F18" s="199" t="s">
        <v>689</v>
      </c>
      <c r="G18" s="199" t="s">
        <v>689</v>
      </c>
      <c r="H18" s="199" t="s">
        <v>317</v>
      </c>
      <c r="I18" s="199" t="s">
        <v>168</v>
      </c>
      <c r="J18" s="278">
        <v>44977.0</v>
      </c>
      <c r="K18" s="202"/>
      <c r="L18" s="150"/>
      <c r="M18" s="150"/>
      <c r="N18" s="150"/>
      <c r="O18" s="150"/>
      <c r="P18" s="150"/>
      <c r="Q18" s="150"/>
      <c r="R18" s="150"/>
      <c r="S18" s="150"/>
      <c r="T18" s="150"/>
      <c r="U18" s="150"/>
      <c r="V18" s="150"/>
      <c r="W18" s="150"/>
      <c r="X18" s="150"/>
      <c r="Y18" s="150"/>
      <c r="Z18" s="150"/>
    </row>
    <row r="19" ht="52.5" customHeight="1">
      <c r="A19" s="92"/>
      <c r="B19" s="92"/>
      <c r="C19" s="92"/>
      <c r="D19" s="92"/>
      <c r="E19" s="92"/>
      <c r="F19" s="92"/>
      <c r="G19" s="92"/>
      <c r="H19" s="92"/>
      <c r="I19" s="92"/>
      <c r="J19" s="92"/>
      <c r="K19" s="202"/>
      <c r="L19" s="150"/>
      <c r="M19" s="150"/>
      <c r="N19" s="150"/>
      <c r="O19" s="150"/>
      <c r="P19" s="150"/>
      <c r="Q19" s="150"/>
      <c r="R19" s="150"/>
      <c r="S19" s="150"/>
      <c r="T19" s="150"/>
      <c r="U19" s="150"/>
      <c r="V19" s="150"/>
      <c r="W19" s="150"/>
      <c r="X19" s="150"/>
      <c r="Y19" s="150"/>
      <c r="Z19" s="150"/>
    </row>
    <row r="20" ht="39.0" customHeight="1">
      <c r="A20" s="92"/>
      <c r="B20" s="92"/>
      <c r="C20" s="92"/>
      <c r="D20" s="92"/>
      <c r="E20" s="92"/>
      <c r="F20" s="92"/>
      <c r="G20" s="92"/>
      <c r="H20" s="92"/>
      <c r="I20" s="92"/>
      <c r="J20" s="92"/>
      <c r="K20" s="202"/>
      <c r="L20" s="150"/>
      <c r="M20" s="150"/>
      <c r="N20" s="150"/>
      <c r="O20" s="150"/>
      <c r="P20" s="150"/>
      <c r="Q20" s="150"/>
      <c r="R20" s="150"/>
      <c r="S20" s="150"/>
      <c r="T20" s="150"/>
      <c r="U20" s="150"/>
      <c r="V20" s="150"/>
      <c r="W20" s="150"/>
      <c r="X20" s="150"/>
      <c r="Y20" s="150"/>
      <c r="Z20" s="150"/>
    </row>
    <row r="21">
      <c r="A21" s="92"/>
      <c r="B21" s="92"/>
      <c r="C21" s="92"/>
      <c r="D21" s="92"/>
      <c r="E21" s="92"/>
      <c r="F21" s="92"/>
      <c r="G21" s="92"/>
      <c r="H21" s="92"/>
      <c r="I21" s="92"/>
      <c r="J21" s="92"/>
      <c r="K21" s="202"/>
      <c r="L21" s="150"/>
      <c r="M21" s="150"/>
      <c r="N21" s="150"/>
      <c r="O21" s="150"/>
      <c r="P21" s="150"/>
      <c r="Q21" s="150"/>
      <c r="R21" s="150"/>
      <c r="S21" s="150"/>
      <c r="T21" s="150"/>
      <c r="U21" s="150"/>
      <c r="V21" s="150"/>
      <c r="W21" s="150"/>
      <c r="X21" s="150"/>
      <c r="Y21" s="150"/>
      <c r="Z21" s="150"/>
    </row>
    <row r="22">
      <c r="A22" s="92"/>
      <c r="B22" s="92"/>
      <c r="C22" s="92"/>
      <c r="D22" s="92"/>
      <c r="E22" s="92"/>
      <c r="F22" s="92"/>
      <c r="G22" s="92"/>
      <c r="H22" s="92"/>
      <c r="I22" s="92"/>
      <c r="J22" s="92"/>
      <c r="K22" s="202"/>
      <c r="L22" s="150"/>
      <c r="M22" s="150"/>
      <c r="N22" s="150"/>
      <c r="O22" s="150"/>
      <c r="P22" s="150"/>
      <c r="Q22" s="150"/>
      <c r="R22" s="150"/>
      <c r="S22" s="150"/>
      <c r="T22" s="150"/>
      <c r="U22" s="150"/>
      <c r="V22" s="150"/>
      <c r="W22" s="150"/>
      <c r="X22" s="150"/>
      <c r="Y22" s="150"/>
      <c r="Z22" s="150"/>
    </row>
    <row r="23" ht="30.75" customHeight="1">
      <c r="A23" s="92"/>
      <c r="B23" s="92"/>
      <c r="C23" s="92"/>
      <c r="D23" s="92"/>
      <c r="E23" s="92"/>
      <c r="F23" s="92"/>
      <c r="G23" s="92"/>
      <c r="H23" s="92"/>
      <c r="I23" s="92"/>
      <c r="J23" s="92"/>
      <c r="K23" s="202"/>
      <c r="L23" s="150"/>
      <c r="M23" s="150"/>
      <c r="N23" s="150"/>
      <c r="O23" s="150"/>
      <c r="P23" s="150"/>
      <c r="Q23" s="150"/>
      <c r="R23" s="150"/>
      <c r="S23" s="150"/>
      <c r="T23" s="150"/>
      <c r="U23" s="150"/>
      <c r="V23" s="150"/>
      <c r="W23" s="150"/>
      <c r="X23" s="150"/>
      <c r="Y23" s="150"/>
      <c r="Z23" s="150"/>
    </row>
    <row r="24" ht="37.5" customHeight="1">
      <c r="A24" s="92"/>
      <c r="B24" s="92"/>
      <c r="C24" s="92"/>
      <c r="D24" s="92"/>
      <c r="E24" s="92"/>
      <c r="F24" s="92"/>
      <c r="G24" s="92"/>
      <c r="H24" s="92"/>
      <c r="I24" s="92"/>
      <c r="J24" s="92"/>
      <c r="K24" s="202"/>
      <c r="L24" s="150"/>
      <c r="M24" s="150"/>
      <c r="N24" s="150"/>
      <c r="O24" s="150"/>
      <c r="P24" s="150"/>
      <c r="Q24" s="150"/>
      <c r="R24" s="150"/>
      <c r="S24" s="150"/>
      <c r="T24" s="150"/>
      <c r="U24" s="150"/>
      <c r="V24" s="150"/>
      <c r="W24" s="150"/>
      <c r="X24" s="150"/>
      <c r="Y24" s="150"/>
      <c r="Z24" s="150"/>
    </row>
    <row r="25" ht="39.75" customHeight="1">
      <c r="A25" s="21"/>
      <c r="B25" s="92"/>
      <c r="C25" s="21"/>
      <c r="D25" s="21"/>
      <c r="E25" s="21"/>
      <c r="F25" s="21"/>
      <c r="G25" s="21"/>
      <c r="H25" s="21"/>
      <c r="I25" s="21"/>
      <c r="J25" s="21"/>
      <c r="K25" s="202"/>
      <c r="L25" s="150"/>
      <c r="M25" s="150"/>
      <c r="N25" s="150"/>
      <c r="O25" s="150"/>
      <c r="P25" s="150"/>
      <c r="Q25" s="150"/>
      <c r="R25" s="150"/>
      <c r="S25" s="150"/>
      <c r="T25" s="150"/>
      <c r="U25" s="150"/>
      <c r="V25" s="150"/>
      <c r="W25" s="150"/>
      <c r="X25" s="150"/>
      <c r="Y25" s="150"/>
      <c r="Z25" s="150"/>
    </row>
    <row r="26" ht="28.5" customHeight="1">
      <c r="A26" s="186" t="s">
        <v>690</v>
      </c>
      <c r="B26" s="92"/>
      <c r="C26" s="199" t="s">
        <v>691</v>
      </c>
      <c r="D26" s="277" t="s">
        <v>692</v>
      </c>
      <c r="E26" s="277" t="s">
        <v>693</v>
      </c>
      <c r="F26" s="199" t="s">
        <v>694</v>
      </c>
      <c r="G26" s="199" t="s">
        <v>694</v>
      </c>
      <c r="H26" s="199" t="s">
        <v>317</v>
      </c>
      <c r="I26" s="199" t="s">
        <v>168</v>
      </c>
      <c r="J26" s="278">
        <v>44977.0</v>
      </c>
      <c r="K26" s="199" t="s">
        <v>695</v>
      </c>
      <c r="L26" s="150"/>
      <c r="M26" s="150"/>
      <c r="N26" s="150"/>
      <c r="O26" s="150"/>
      <c r="P26" s="150"/>
      <c r="Q26" s="150"/>
      <c r="R26" s="150"/>
      <c r="S26" s="150"/>
      <c r="T26" s="150"/>
      <c r="U26" s="150"/>
      <c r="V26" s="150"/>
      <c r="W26" s="150"/>
      <c r="X26" s="150"/>
      <c r="Y26" s="150"/>
      <c r="Z26" s="150"/>
    </row>
    <row r="27" ht="28.5" customHeight="1">
      <c r="A27" s="92"/>
      <c r="B27" s="92"/>
      <c r="C27" s="92"/>
      <c r="D27" s="92"/>
      <c r="E27" s="92"/>
      <c r="F27" s="92"/>
      <c r="G27" s="92"/>
      <c r="H27" s="92"/>
      <c r="I27" s="92"/>
      <c r="J27" s="92"/>
      <c r="K27" s="92"/>
      <c r="L27" s="150"/>
      <c r="M27" s="150"/>
      <c r="N27" s="150"/>
      <c r="O27" s="150"/>
      <c r="P27" s="150"/>
      <c r="Q27" s="150"/>
      <c r="R27" s="150"/>
      <c r="S27" s="150"/>
      <c r="T27" s="150"/>
      <c r="U27" s="150"/>
      <c r="V27" s="150"/>
      <c r="W27" s="150"/>
      <c r="X27" s="150"/>
      <c r="Y27" s="150"/>
      <c r="Z27" s="150"/>
    </row>
    <row r="28" ht="81.0" customHeight="1">
      <c r="A28" s="21"/>
      <c r="B28" s="92"/>
      <c r="C28" s="21"/>
      <c r="D28" s="21"/>
      <c r="E28" s="21"/>
      <c r="F28" s="21"/>
      <c r="G28" s="21"/>
      <c r="H28" s="21"/>
      <c r="I28" s="21"/>
      <c r="J28" s="21"/>
      <c r="K28" s="21"/>
      <c r="L28" s="150"/>
      <c r="M28" s="150"/>
      <c r="N28" s="150"/>
      <c r="O28" s="150"/>
      <c r="P28" s="150"/>
      <c r="Q28" s="150"/>
      <c r="R28" s="150"/>
      <c r="S28" s="150"/>
      <c r="T28" s="150"/>
      <c r="U28" s="150"/>
      <c r="V28" s="150"/>
      <c r="W28" s="150"/>
      <c r="X28" s="150"/>
      <c r="Y28" s="150"/>
      <c r="Z28" s="150"/>
    </row>
    <row r="29" ht="40.5" customHeight="1">
      <c r="A29" s="186" t="s">
        <v>696</v>
      </c>
      <c r="B29" s="92"/>
      <c r="C29" s="199" t="s">
        <v>697</v>
      </c>
      <c r="D29" s="277" t="s">
        <v>698</v>
      </c>
      <c r="E29" s="277" t="s">
        <v>699</v>
      </c>
      <c r="F29" s="199" t="s">
        <v>700</v>
      </c>
      <c r="G29" s="199" t="s">
        <v>701</v>
      </c>
      <c r="H29" s="199" t="s">
        <v>317</v>
      </c>
      <c r="I29" s="199" t="s">
        <v>168</v>
      </c>
      <c r="J29" s="278">
        <v>44978.0</v>
      </c>
      <c r="K29" s="199"/>
      <c r="L29" s="150"/>
      <c r="M29" s="150"/>
      <c r="N29" s="150"/>
      <c r="O29" s="150"/>
      <c r="P29" s="150"/>
      <c r="Q29" s="150"/>
      <c r="R29" s="150"/>
      <c r="S29" s="150"/>
      <c r="T29" s="150"/>
      <c r="U29" s="150"/>
      <c r="V29" s="150"/>
      <c r="W29" s="150"/>
      <c r="X29" s="150"/>
      <c r="Y29" s="150"/>
      <c r="Z29" s="150"/>
    </row>
    <row r="30" ht="53.25" customHeight="1">
      <c r="A30" s="92"/>
      <c r="B30" s="92"/>
      <c r="C30" s="92"/>
      <c r="D30" s="92"/>
      <c r="E30" s="92"/>
      <c r="F30" s="92"/>
      <c r="G30" s="92"/>
      <c r="H30" s="92"/>
      <c r="I30" s="92"/>
      <c r="J30" s="92"/>
      <c r="K30" s="92"/>
      <c r="L30" s="150"/>
      <c r="M30" s="150"/>
      <c r="N30" s="150"/>
      <c r="O30" s="150"/>
      <c r="P30" s="150"/>
      <c r="Q30" s="150"/>
      <c r="R30" s="150"/>
      <c r="S30" s="150"/>
      <c r="T30" s="150"/>
      <c r="U30" s="150"/>
      <c r="V30" s="150"/>
      <c r="W30" s="150"/>
      <c r="X30" s="150"/>
      <c r="Y30" s="150"/>
      <c r="Z30" s="150"/>
    </row>
    <row r="31" ht="39.0" customHeight="1">
      <c r="A31" s="92"/>
      <c r="B31" s="92"/>
      <c r="C31" s="92"/>
      <c r="D31" s="92"/>
      <c r="E31" s="92"/>
      <c r="F31" s="92"/>
      <c r="G31" s="92"/>
      <c r="H31" s="92"/>
      <c r="I31" s="92"/>
      <c r="J31" s="92"/>
      <c r="K31" s="92"/>
      <c r="L31" s="150"/>
      <c r="M31" s="150"/>
      <c r="N31" s="150"/>
      <c r="O31" s="150"/>
      <c r="P31" s="150"/>
      <c r="Q31" s="150"/>
      <c r="R31" s="150"/>
      <c r="S31" s="150"/>
      <c r="T31" s="150"/>
      <c r="U31" s="150"/>
      <c r="V31" s="150"/>
      <c r="W31" s="150"/>
      <c r="X31" s="150"/>
      <c r="Y31" s="150"/>
      <c r="Z31" s="150"/>
    </row>
    <row r="32" ht="32.25" customHeight="1">
      <c r="A32" s="92"/>
      <c r="B32" s="92"/>
      <c r="C32" s="92"/>
      <c r="D32" s="92"/>
      <c r="E32" s="92"/>
      <c r="F32" s="92"/>
      <c r="G32" s="92"/>
      <c r="H32" s="92"/>
      <c r="I32" s="92"/>
      <c r="J32" s="92"/>
      <c r="K32" s="92"/>
      <c r="L32" s="150"/>
      <c r="M32" s="150"/>
      <c r="N32" s="150"/>
      <c r="O32" s="150"/>
      <c r="P32" s="150"/>
      <c r="Q32" s="150"/>
      <c r="R32" s="150"/>
      <c r="S32" s="150"/>
      <c r="T32" s="150"/>
      <c r="U32" s="150"/>
      <c r="V32" s="150"/>
      <c r="W32" s="150"/>
      <c r="X32" s="150"/>
      <c r="Y32" s="150"/>
      <c r="Z32" s="150"/>
    </row>
    <row r="33" ht="32.25" customHeight="1">
      <c r="A33" s="92"/>
      <c r="B33" s="92"/>
      <c r="C33" s="92"/>
      <c r="D33" s="92"/>
      <c r="E33" s="92"/>
      <c r="F33" s="92"/>
      <c r="G33" s="92"/>
      <c r="H33" s="92"/>
      <c r="I33" s="92"/>
      <c r="J33" s="92"/>
      <c r="K33" s="92"/>
      <c r="L33" s="150"/>
      <c r="M33" s="150"/>
      <c r="N33" s="150"/>
      <c r="O33" s="150"/>
      <c r="P33" s="150"/>
      <c r="Q33" s="150"/>
      <c r="R33" s="150"/>
      <c r="S33" s="150"/>
      <c r="T33" s="150"/>
      <c r="U33" s="150"/>
      <c r="V33" s="150"/>
      <c r="W33" s="150"/>
      <c r="X33" s="150"/>
      <c r="Y33" s="150"/>
      <c r="Z33" s="150"/>
    </row>
    <row r="34" ht="42.0" customHeight="1">
      <c r="A34" s="21"/>
      <c r="B34" s="21"/>
      <c r="C34" s="21"/>
      <c r="D34" s="21"/>
      <c r="E34" s="21"/>
      <c r="F34" s="21"/>
      <c r="G34" s="21"/>
      <c r="H34" s="21"/>
      <c r="I34" s="21"/>
      <c r="J34" s="21"/>
      <c r="K34" s="21"/>
      <c r="L34" s="150"/>
      <c r="M34" s="150"/>
      <c r="N34" s="150"/>
      <c r="O34" s="150"/>
      <c r="P34" s="150"/>
      <c r="Q34" s="150"/>
      <c r="R34" s="150"/>
      <c r="S34" s="150"/>
      <c r="T34" s="150"/>
      <c r="U34" s="150"/>
      <c r="V34" s="150"/>
      <c r="W34" s="150"/>
      <c r="X34" s="150"/>
      <c r="Y34" s="150"/>
      <c r="Z34" s="150"/>
    </row>
    <row r="35">
      <c r="A35" s="150"/>
      <c r="B35" s="150"/>
      <c r="C35" s="150"/>
      <c r="D35" s="209"/>
      <c r="E35" s="209"/>
      <c r="F35" s="150"/>
      <c r="G35" s="150"/>
      <c r="H35" s="150"/>
      <c r="I35" s="150"/>
      <c r="J35" s="150"/>
      <c r="K35" s="150"/>
      <c r="L35" s="150"/>
      <c r="M35" s="150"/>
      <c r="N35" s="150"/>
      <c r="O35" s="150"/>
      <c r="P35" s="150"/>
      <c r="Q35" s="150"/>
      <c r="R35" s="150"/>
      <c r="S35" s="150"/>
      <c r="T35" s="150"/>
      <c r="U35" s="150"/>
      <c r="V35" s="150"/>
      <c r="W35" s="150"/>
      <c r="X35" s="150"/>
      <c r="Y35" s="150"/>
      <c r="Z35" s="150"/>
    </row>
    <row r="36" ht="12.75" customHeight="1">
      <c r="A36" s="235"/>
      <c r="B36" s="235"/>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235"/>
    </row>
    <row r="37" ht="12.75" customHeight="1">
      <c r="A37" s="235"/>
      <c r="B37" s="235"/>
      <c r="C37" s="235"/>
      <c r="D37" s="235"/>
      <c r="E37" s="235"/>
      <c r="F37" s="235"/>
      <c r="G37" s="235"/>
      <c r="H37" s="235"/>
      <c r="I37" s="235"/>
      <c r="J37" s="235"/>
      <c r="K37" s="235"/>
      <c r="L37" s="235"/>
      <c r="M37" s="235"/>
      <c r="N37" s="235"/>
      <c r="O37" s="235"/>
      <c r="P37" s="235"/>
      <c r="Q37" s="235"/>
      <c r="R37" s="235"/>
      <c r="S37" s="235"/>
      <c r="T37" s="235"/>
      <c r="U37" s="235"/>
      <c r="V37" s="235"/>
      <c r="W37" s="235"/>
      <c r="X37" s="235"/>
      <c r="Y37" s="235"/>
      <c r="Z37" s="235"/>
    </row>
    <row r="38" ht="12.75" customHeight="1">
      <c r="A38" s="235"/>
      <c r="B38" s="235"/>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row>
    <row r="39" ht="12.75" customHeight="1">
      <c r="A39" s="235"/>
      <c r="B39" s="235"/>
      <c r="C39" s="235"/>
      <c r="D39" s="235"/>
      <c r="E39" s="235"/>
      <c r="F39" s="235"/>
      <c r="G39" s="235"/>
      <c r="H39" s="235"/>
      <c r="I39" s="235"/>
      <c r="J39" s="235"/>
      <c r="K39" s="235"/>
      <c r="L39" s="235"/>
      <c r="M39" s="235"/>
      <c r="N39" s="235"/>
      <c r="O39" s="235"/>
      <c r="P39" s="235"/>
      <c r="Q39" s="235"/>
      <c r="R39" s="235"/>
      <c r="S39" s="235"/>
      <c r="T39" s="235"/>
      <c r="U39" s="235"/>
      <c r="V39" s="235"/>
      <c r="W39" s="235"/>
      <c r="X39" s="235"/>
      <c r="Y39" s="235"/>
      <c r="Z39" s="235"/>
    </row>
    <row r="40" ht="12.75" customHeight="1">
      <c r="A40" s="235"/>
      <c r="B40" s="235"/>
      <c r="C40" s="235"/>
      <c r="D40" s="235"/>
      <c r="E40" s="235"/>
      <c r="F40" s="235"/>
      <c r="G40" s="235"/>
      <c r="H40" s="235"/>
      <c r="I40" s="235"/>
      <c r="J40" s="235"/>
      <c r="K40" s="235"/>
      <c r="L40" s="235"/>
      <c r="M40" s="235"/>
      <c r="N40" s="235"/>
      <c r="O40" s="235"/>
      <c r="P40" s="235"/>
      <c r="Q40" s="235"/>
      <c r="R40" s="235"/>
      <c r="S40" s="235"/>
      <c r="T40" s="235"/>
      <c r="U40" s="235"/>
      <c r="V40" s="235"/>
      <c r="W40" s="235"/>
      <c r="X40" s="235"/>
      <c r="Y40" s="235"/>
      <c r="Z40" s="235"/>
    </row>
    <row r="41" ht="12.75" customHeight="1">
      <c r="A41" s="235"/>
      <c r="B41" s="235"/>
      <c r="C41" s="235"/>
      <c r="D41" s="235"/>
      <c r="E41" s="235"/>
      <c r="F41" s="235"/>
      <c r="G41" s="235"/>
      <c r="H41" s="235"/>
      <c r="I41" s="235"/>
      <c r="J41" s="235"/>
      <c r="K41" s="235"/>
      <c r="L41" s="235"/>
      <c r="M41" s="235"/>
      <c r="N41" s="235"/>
      <c r="O41" s="235"/>
      <c r="P41" s="235"/>
      <c r="Q41" s="235"/>
      <c r="R41" s="235"/>
      <c r="S41" s="235"/>
      <c r="T41" s="235"/>
      <c r="U41" s="235"/>
      <c r="V41" s="235"/>
      <c r="W41" s="235"/>
      <c r="X41" s="235"/>
      <c r="Y41" s="235"/>
      <c r="Z41" s="235"/>
    </row>
    <row r="42" ht="12.75" customHeight="1">
      <c r="A42" s="235"/>
      <c r="B42" s="235"/>
      <c r="C42" s="235"/>
      <c r="D42" s="235"/>
      <c r="E42" s="235"/>
      <c r="F42" s="235"/>
      <c r="G42" s="235"/>
      <c r="H42" s="235"/>
      <c r="I42" s="235"/>
      <c r="J42" s="235"/>
      <c r="K42" s="235"/>
      <c r="L42" s="235"/>
      <c r="M42" s="235"/>
      <c r="N42" s="235"/>
      <c r="O42" s="235"/>
      <c r="P42" s="235"/>
      <c r="Q42" s="235"/>
      <c r="R42" s="235"/>
      <c r="S42" s="235"/>
      <c r="T42" s="235"/>
      <c r="U42" s="235"/>
      <c r="V42" s="235"/>
      <c r="W42" s="235"/>
      <c r="X42" s="235"/>
      <c r="Y42" s="235"/>
      <c r="Z42" s="235"/>
    </row>
    <row r="43" ht="12.75" customHeight="1">
      <c r="A43" s="235"/>
      <c r="B43" s="235"/>
      <c r="C43" s="235"/>
      <c r="D43" s="235"/>
      <c r="E43" s="235"/>
      <c r="F43" s="235"/>
      <c r="G43" s="235"/>
      <c r="H43" s="235"/>
      <c r="I43" s="235"/>
      <c r="J43" s="235"/>
      <c r="K43" s="235"/>
      <c r="L43" s="235"/>
      <c r="M43" s="235"/>
      <c r="N43" s="235"/>
      <c r="O43" s="235"/>
      <c r="P43" s="235"/>
      <c r="Q43" s="235"/>
      <c r="R43" s="235"/>
      <c r="S43" s="235"/>
      <c r="T43" s="235"/>
      <c r="U43" s="235"/>
      <c r="V43" s="235"/>
      <c r="W43" s="235"/>
      <c r="X43" s="235"/>
      <c r="Y43" s="235"/>
      <c r="Z43" s="235"/>
    </row>
    <row r="44" ht="12.75" customHeight="1">
      <c r="A44" s="235"/>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row>
    <row r="45" ht="12.75" customHeight="1">
      <c r="A45" s="235"/>
      <c r="B45" s="235"/>
      <c r="C45" s="235"/>
      <c r="D45" s="235"/>
      <c r="E45" s="235"/>
      <c r="F45" s="235"/>
      <c r="G45" s="235"/>
      <c r="H45" s="235"/>
      <c r="I45" s="235"/>
      <c r="J45" s="235"/>
      <c r="K45" s="235"/>
      <c r="L45" s="235"/>
      <c r="M45" s="235"/>
      <c r="N45" s="235"/>
      <c r="O45" s="235"/>
      <c r="P45" s="235"/>
      <c r="Q45" s="235"/>
      <c r="R45" s="235"/>
      <c r="S45" s="235"/>
      <c r="T45" s="235"/>
      <c r="U45" s="235"/>
      <c r="V45" s="235"/>
      <c r="W45" s="235"/>
      <c r="X45" s="235"/>
      <c r="Y45" s="235"/>
      <c r="Z45" s="235"/>
    </row>
    <row r="46" ht="12.75" customHeight="1">
      <c r="A46" s="235"/>
      <c r="B46" s="235"/>
      <c r="C46" s="235"/>
      <c r="D46" s="235"/>
      <c r="E46" s="235"/>
      <c r="F46" s="235"/>
      <c r="G46" s="235"/>
      <c r="H46" s="235"/>
      <c r="I46" s="235"/>
      <c r="J46" s="235"/>
      <c r="K46" s="235"/>
      <c r="L46" s="235"/>
      <c r="M46" s="235"/>
      <c r="N46" s="235"/>
      <c r="O46" s="235"/>
      <c r="P46" s="235"/>
      <c r="Q46" s="235"/>
      <c r="R46" s="235"/>
      <c r="S46" s="235"/>
      <c r="T46" s="235"/>
      <c r="U46" s="235"/>
      <c r="V46" s="235"/>
      <c r="W46" s="235"/>
      <c r="X46" s="235"/>
      <c r="Y46" s="235"/>
      <c r="Z46" s="235"/>
    </row>
    <row r="47" ht="12.75" customHeight="1">
      <c r="A47" s="235"/>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row>
    <row r="48" ht="12.75" customHeight="1">
      <c r="A48" s="235"/>
      <c r="B48" s="235"/>
      <c r="C48" s="235"/>
      <c r="D48" s="235"/>
      <c r="E48" s="235"/>
      <c r="F48" s="235"/>
      <c r="G48" s="235"/>
      <c r="H48" s="235"/>
      <c r="I48" s="235"/>
      <c r="J48" s="235"/>
      <c r="K48" s="235"/>
      <c r="L48" s="235"/>
      <c r="M48" s="235"/>
      <c r="N48" s="235"/>
      <c r="O48" s="235"/>
      <c r="P48" s="235"/>
      <c r="Q48" s="235"/>
      <c r="R48" s="235"/>
      <c r="S48" s="235"/>
      <c r="T48" s="235"/>
      <c r="U48" s="235"/>
      <c r="V48" s="235"/>
      <c r="W48" s="235"/>
      <c r="X48" s="235"/>
      <c r="Y48" s="235"/>
      <c r="Z48" s="235"/>
    </row>
    <row r="49" ht="12.75" customHeight="1">
      <c r="A49" s="235"/>
      <c r="B49" s="235"/>
      <c r="C49" s="235"/>
      <c r="D49" s="235"/>
      <c r="E49" s="235"/>
      <c r="F49" s="235"/>
      <c r="G49" s="235"/>
      <c r="H49" s="235"/>
      <c r="I49" s="235"/>
      <c r="J49" s="235"/>
      <c r="K49" s="235"/>
      <c r="L49" s="235"/>
      <c r="M49" s="235"/>
      <c r="N49" s="235"/>
      <c r="O49" s="235"/>
      <c r="P49" s="235"/>
      <c r="Q49" s="235"/>
      <c r="R49" s="235"/>
      <c r="S49" s="235"/>
      <c r="T49" s="235"/>
      <c r="U49" s="235"/>
      <c r="V49" s="235"/>
      <c r="W49" s="235"/>
      <c r="X49" s="235"/>
      <c r="Y49" s="235"/>
      <c r="Z49" s="235"/>
    </row>
    <row r="50" ht="12.75" customHeight="1">
      <c r="A50" s="235"/>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row>
    <row r="51" ht="12.75" customHeight="1">
      <c r="A51" s="235"/>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row>
    <row r="52" ht="12.75" customHeight="1">
      <c r="A52" s="235"/>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row>
    <row r="53" ht="12.75" customHeight="1">
      <c r="A53" s="235"/>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row>
    <row r="54" ht="12.75" customHeight="1">
      <c r="A54" s="235"/>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row>
    <row r="55" ht="12.75" customHeight="1">
      <c r="A55" s="235"/>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row>
    <row r="56" ht="12.75" customHeight="1">
      <c r="A56" s="235"/>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row>
    <row r="57" ht="12.75" customHeight="1">
      <c r="A57" s="235"/>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row>
    <row r="58" ht="12.75" customHeight="1">
      <c r="A58" s="235"/>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row>
    <row r="59" ht="12.75" customHeight="1">
      <c r="A59" s="235"/>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row>
    <row r="60" ht="12.75" customHeight="1">
      <c r="A60" s="235"/>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row>
    <row r="61" ht="12.75" customHeight="1">
      <c r="A61" s="235"/>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row>
    <row r="62" ht="12.75" customHeight="1">
      <c r="A62" s="235"/>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row>
    <row r="63" ht="12.75" customHeight="1">
      <c r="A63" s="235"/>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row>
    <row r="64" ht="12.75" customHeight="1">
      <c r="A64" s="235"/>
      <c r="B64" s="235"/>
      <c r="C64" s="235"/>
      <c r="D64" s="235"/>
      <c r="E64" s="235"/>
      <c r="F64" s="235"/>
      <c r="G64" s="235"/>
      <c r="H64" s="235"/>
      <c r="I64" s="235"/>
      <c r="J64" s="235"/>
      <c r="K64" s="235"/>
      <c r="L64" s="235"/>
      <c r="M64" s="235"/>
      <c r="N64" s="235"/>
      <c r="O64" s="235"/>
      <c r="P64" s="235"/>
      <c r="Q64" s="235"/>
      <c r="R64" s="235"/>
      <c r="S64" s="235"/>
      <c r="T64" s="235"/>
      <c r="U64" s="235"/>
      <c r="V64" s="235"/>
      <c r="W64" s="235"/>
      <c r="X64" s="235"/>
      <c r="Y64" s="235"/>
      <c r="Z64" s="235"/>
    </row>
    <row r="65" ht="12.75" customHeight="1">
      <c r="A65" s="235"/>
      <c r="B65" s="235"/>
      <c r="C65" s="235"/>
      <c r="D65" s="235"/>
      <c r="E65" s="235"/>
      <c r="F65" s="235"/>
      <c r="G65" s="235"/>
      <c r="H65" s="235"/>
      <c r="I65" s="235"/>
      <c r="J65" s="235"/>
      <c r="K65" s="235"/>
      <c r="L65" s="235"/>
      <c r="M65" s="235"/>
      <c r="N65" s="235"/>
      <c r="O65" s="235"/>
      <c r="P65" s="235"/>
      <c r="Q65" s="235"/>
      <c r="R65" s="235"/>
      <c r="S65" s="235"/>
      <c r="T65" s="235"/>
      <c r="U65" s="235"/>
      <c r="V65" s="235"/>
      <c r="W65" s="235"/>
      <c r="X65" s="235"/>
      <c r="Y65" s="235"/>
      <c r="Z65" s="235"/>
    </row>
    <row r="66" ht="12.75" customHeight="1">
      <c r="A66" s="235"/>
      <c r="B66" s="235"/>
      <c r="C66" s="235"/>
      <c r="D66" s="235"/>
      <c r="E66" s="235"/>
      <c r="F66" s="235"/>
      <c r="G66" s="235"/>
      <c r="H66" s="235"/>
      <c r="I66" s="235"/>
      <c r="J66" s="235"/>
      <c r="K66" s="235"/>
      <c r="L66" s="235"/>
      <c r="M66" s="235"/>
      <c r="N66" s="235"/>
      <c r="O66" s="235"/>
      <c r="P66" s="235"/>
      <c r="Q66" s="235"/>
      <c r="R66" s="235"/>
      <c r="S66" s="235"/>
      <c r="T66" s="235"/>
      <c r="U66" s="235"/>
      <c r="V66" s="235"/>
      <c r="W66" s="235"/>
      <c r="X66" s="235"/>
      <c r="Y66" s="235"/>
      <c r="Z66" s="235"/>
    </row>
    <row r="67" ht="12.75" customHeight="1">
      <c r="A67" s="235"/>
      <c r="B67" s="235"/>
      <c r="C67" s="235"/>
      <c r="D67" s="235"/>
      <c r="E67" s="235"/>
      <c r="F67" s="235"/>
      <c r="G67" s="235"/>
      <c r="H67" s="235"/>
      <c r="I67" s="235"/>
      <c r="J67" s="235"/>
      <c r="K67" s="235"/>
      <c r="L67" s="235"/>
      <c r="M67" s="235"/>
      <c r="N67" s="235"/>
      <c r="O67" s="235"/>
      <c r="P67" s="235"/>
      <c r="Q67" s="235"/>
      <c r="R67" s="235"/>
      <c r="S67" s="235"/>
      <c r="T67" s="235"/>
      <c r="U67" s="235"/>
      <c r="V67" s="235"/>
      <c r="W67" s="235"/>
      <c r="X67" s="235"/>
      <c r="Y67" s="235"/>
      <c r="Z67" s="235"/>
    </row>
    <row r="68" ht="12.75" customHeight="1">
      <c r="A68" s="235"/>
      <c r="B68" s="235"/>
      <c r="C68" s="235"/>
      <c r="D68" s="235"/>
      <c r="E68" s="235"/>
      <c r="F68" s="235"/>
      <c r="G68" s="235"/>
      <c r="H68" s="235"/>
      <c r="I68" s="235"/>
      <c r="J68" s="235"/>
      <c r="K68" s="235"/>
      <c r="L68" s="235"/>
      <c r="M68" s="235"/>
      <c r="N68" s="235"/>
      <c r="O68" s="235"/>
      <c r="P68" s="235"/>
      <c r="Q68" s="235"/>
      <c r="R68" s="235"/>
      <c r="S68" s="235"/>
      <c r="T68" s="235"/>
      <c r="U68" s="235"/>
      <c r="V68" s="235"/>
      <c r="W68" s="235"/>
      <c r="X68" s="235"/>
      <c r="Y68" s="235"/>
      <c r="Z68" s="235"/>
    </row>
    <row r="69" ht="12.75" customHeight="1">
      <c r="A69" s="235"/>
      <c r="B69" s="235"/>
      <c r="C69" s="235"/>
      <c r="D69" s="235"/>
      <c r="E69" s="235"/>
      <c r="F69" s="235"/>
      <c r="G69" s="235"/>
      <c r="H69" s="235"/>
      <c r="I69" s="235"/>
      <c r="J69" s="235"/>
      <c r="K69" s="235"/>
      <c r="L69" s="235"/>
      <c r="M69" s="235"/>
      <c r="N69" s="235"/>
      <c r="O69" s="235"/>
      <c r="P69" s="235"/>
      <c r="Q69" s="235"/>
      <c r="R69" s="235"/>
      <c r="S69" s="235"/>
      <c r="T69" s="235"/>
      <c r="U69" s="235"/>
      <c r="V69" s="235"/>
      <c r="W69" s="235"/>
      <c r="X69" s="235"/>
      <c r="Y69" s="235"/>
      <c r="Z69" s="235"/>
    </row>
    <row r="70" ht="12.75" customHeight="1">
      <c r="A70" s="235"/>
      <c r="B70" s="235"/>
      <c r="C70" s="235"/>
      <c r="D70" s="235"/>
      <c r="E70" s="235"/>
      <c r="F70" s="235"/>
      <c r="G70" s="235"/>
      <c r="H70" s="235"/>
      <c r="I70" s="235"/>
      <c r="J70" s="235"/>
      <c r="K70" s="235"/>
      <c r="L70" s="235"/>
      <c r="M70" s="235"/>
      <c r="N70" s="235"/>
      <c r="O70" s="235"/>
      <c r="P70" s="235"/>
      <c r="Q70" s="235"/>
      <c r="R70" s="235"/>
      <c r="S70" s="235"/>
      <c r="T70" s="235"/>
      <c r="U70" s="235"/>
      <c r="V70" s="235"/>
      <c r="W70" s="235"/>
      <c r="X70" s="235"/>
      <c r="Y70" s="235"/>
      <c r="Z70" s="235"/>
    </row>
    <row r="71" ht="12.75" customHeight="1">
      <c r="A71" s="235"/>
      <c r="B71" s="235"/>
      <c r="C71" s="235"/>
      <c r="D71" s="235"/>
      <c r="E71" s="235"/>
      <c r="F71" s="235"/>
      <c r="G71" s="235"/>
      <c r="H71" s="235"/>
      <c r="I71" s="235"/>
      <c r="J71" s="235"/>
      <c r="K71" s="235"/>
      <c r="L71" s="235"/>
      <c r="M71" s="235"/>
      <c r="N71" s="235"/>
      <c r="O71" s="235"/>
      <c r="P71" s="235"/>
      <c r="Q71" s="235"/>
      <c r="R71" s="235"/>
      <c r="S71" s="235"/>
      <c r="T71" s="235"/>
      <c r="U71" s="235"/>
      <c r="V71" s="235"/>
      <c r="W71" s="235"/>
      <c r="X71" s="235"/>
      <c r="Y71" s="235"/>
      <c r="Z71" s="235"/>
    </row>
    <row r="72" ht="12.75" customHeight="1">
      <c r="A72" s="235"/>
      <c r="B72" s="235"/>
      <c r="C72" s="235"/>
      <c r="D72" s="235"/>
      <c r="E72" s="235"/>
      <c r="F72" s="235"/>
      <c r="G72" s="235"/>
      <c r="H72" s="235"/>
      <c r="I72" s="235"/>
      <c r="J72" s="235"/>
      <c r="K72" s="235"/>
      <c r="L72" s="235"/>
      <c r="M72" s="235"/>
      <c r="N72" s="235"/>
      <c r="O72" s="235"/>
      <c r="P72" s="235"/>
      <c r="Q72" s="235"/>
      <c r="R72" s="235"/>
      <c r="S72" s="235"/>
      <c r="T72" s="235"/>
      <c r="U72" s="235"/>
      <c r="V72" s="235"/>
      <c r="W72" s="235"/>
      <c r="X72" s="235"/>
      <c r="Y72" s="235"/>
      <c r="Z72" s="235"/>
    </row>
    <row r="73" ht="12.75" customHeight="1">
      <c r="A73" s="235"/>
      <c r="B73" s="235"/>
      <c r="C73" s="235"/>
      <c r="D73" s="235"/>
      <c r="E73" s="235"/>
      <c r="F73" s="235"/>
      <c r="G73" s="235"/>
      <c r="H73" s="235"/>
      <c r="I73" s="235"/>
      <c r="J73" s="235"/>
      <c r="K73" s="235"/>
      <c r="L73" s="235"/>
      <c r="M73" s="235"/>
      <c r="N73" s="235"/>
      <c r="O73" s="235"/>
      <c r="P73" s="235"/>
      <c r="Q73" s="235"/>
      <c r="R73" s="235"/>
      <c r="S73" s="235"/>
      <c r="T73" s="235"/>
      <c r="U73" s="235"/>
      <c r="V73" s="235"/>
      <c r="W73" s="235"/>
      <c r="X73" s="235"/>
      <c r="Y73" s="235"/>
      <c r="Z73" s="235"/>
    </row>
    <row r="74" ht="12.75" customHeight="1">
      <c r="A74" s="235"/>
      <c r="B74" s="235"/>
      <c r="C74" s="235"/>
      <c r="D74" s="235"/>
      <c r="E74" s="235"/>
      <c r="F74" s="235"/>
      <c r="G74" s="235"/>
      <c r="H74" s="235"/>
      <c r="I74" s="235"/>
      <c r="J74" s="235"/>
      <c r="K74" s="235"/>
      <c r="L74" s="235"/>
      <c r="M74" s="235"/>
      <c r="N74" s="235"/>
      <c r="O74" s="235"/>
      <c r="P74" s="235"/>
      <c r="Q74" s="235"/>
      <c r="R74" s="235"/>
      <c r="S74" s="235"/>
      <c r="T74" s="235"/>
      <c r="U74" s="235"/>
      <c r="V74" s="235"/>
      <c r="W74" s="235"/>
      <c r="X74" s="235"/>
      <c r="Y74" s="235"/>
      <c r="Z74" s="235"/>
    </row>
    <row r="75" ht="12.75" customHeight="1">
      <c r="A75" s="235"/>
      <c r="B75" s="235"/>
      <c r="C75" s="235"/>
      <c r="D75" s="235"/>
      <c r="E75" s="235"/>
      <c r="F75" s="235"/>
      <c r="G75" s="235"/>
      <c r="H75" s="235"/>
      <c r="I75" s="235"/>
      <c r="J75" s="235"/>
      <c r="K75" s="235"/>
      <c r="L75" s="235"/>
      <c r="M75" s="235"/>
      <c r="N75" s="235"/>
      <c r="O75" s="235"/>
      <c r="P75" s="235"/>
      <c r="Q75" s="235"/>
      <c r="R75" s="235"/>
      <c r="S75" s="235"/>
      <c r="T75" s="235"/>
      <c r="U75" s="235"/>
      <c r="V75" s="235"/>
      <c r="W75" s="235"/>
      <c r="X75" s="235"/>
      <c r="Y75" s="235"/>
      <c r="Z75" s="235"/>
    </row>
    <row r="76" ht="12.75" customHeight="1">
      <c r="A76" s="235"/>
      <c r="B76" s="235"/>
      <c r="C76" s="235"/>
      <c r="D76" s="235"/>
      <c r="E76" s="235"/>
      <c r="F76" s="235"/>
      <c r="G76" s="235"/>
      <c r="H76" s="235"/>
      <c r="I76" s="235"/>
      <c r="J76" s="235"/>
      <c r="K76" s="235"/>
      <c r="L76" s="235"/>
      <c r="M76" s="235"/>
      <c r="N76" s="235"/>
      <c r="O76" s="235"/>
      <c r="P76" s="235"/>
      <c r="Q76" s="235"/>
      <c r="R76" s="235"/>
      <c r="S76" s="235"/>
      <c r="T76" s="235"/>
      <c r="U76" s="235"/>
      <c r="V76" s="235"/>
      <c r="W76" s="235"/>
      <c r="X76" s="235"/>
      <c r="Y76" s="235"/>
      <c r="Z76" s="235"/>
    </row>
    <row r="77" ht="12.75" customHeight="1">
      <c r="A77" s="235"/>
      <c r="B77" s="235"/>
      <c r="C77" s="235"/>
      <c r="D77" s="235"/>
      <c r="E77" s="235"/>
      <c r="F77" s="235"/>
      <c r="G77" s="235"/>
      <c r="H77" s="235"/>
      <c r="I77" s="235"/>
      <c r="J77" s="235"/>
      <c r="K77" s="235"/>
      <c r="L77" s="235"/>
      <c r="M77" s="235"/>
      <c r="N77" s="235"/>
      <c r="O77" s="235"/>
      <c r="P77" s="235"/>
      <c r="Q77" s="235"/>
      <c r="R77" s="235"/>
      <c r="S77" s="235"/>
      <c r="T77" s="235"/>
      <c r="U77" s="235"/>
      <c r="V77" s="235"/>
      <c r="W77" s="235"/>
      <c r="X77" s="235"/>
      <c r="Y77" s="235"/>
      <c r="Z77" s="235"/>
    </row>
    <row r="78" ht="12.75" customHeight="1">
      <c r="A78" s="235"/>
      <c r="B78" s="235"/>
      <c r="C78" s="235"/>
      <c r="D78" s="235"/>
      <c r="E78" s="235"/>
      <c r="F78" s="235"/>
      <c r="G78" s="235"/>
      <c r="H78" s="235"/>
      <c r="I78" s="235"/>
      <c r="J78" s="235"/>
      <c r="K78" s="235"/>
      <c r="L78" s="235"/>
      <c r="M78" s="235"/>
      <c r="N78" s="235"/>
      <c r="O78" s="235"/>
      <c r="P78" s="235"/>
      <c r="Q78" s="235"/>
      <c r="R78" s="235"/>
      <c r="S78" s="235"/>
      <c r="T78" s="235"/>
      <c r="U78" s="235"/>
      <c r="V78" s="235"/>
      <c r="W78" s="235"/>
      <c r="X78" s="235"/>
      <c r="Y78" s="235"/>
      <c r="Z78" s="235"/>
    </row>
    <row r="79" ht="12.75" customHeight="1">
      <c r="A79" s="235"/>
      <c r="B79" s="235"/>
      <c r="C79" s="235"/>
      <c r="D79" s="235"/>
      <c r="E79" s="235"/>
      <c r="F79" s="235"/>
      <c r="G79" s="235"/>
      <c r="H79" s="235"/>
      <c r="I79" s="235"/>
      <c r="J79" s="235"/>
      <c r="K79" s="235"/>
      <c r="L79" s="235"/>
      <c r="M79" s="235"/>
      <c r="N79" s="235"/>
      <c r="O79" s="235"/>
      <c r="P79" s="235"/>
      <c r="Q79" s="235"/>
      <c r="R79" s="235"/>
      <c r="S79" s="235"/>
      <c r="T79" s="235"/>
      <c r="U79" s="235"/>
      <c r="V79" s="235"/>
      <c r="W79" s="235"/>
      <c r="X79" s="235"/>
      <c r="Y79" s="235"/>
      <c r="Z79" s="235"/>
    </row>
    <row r="80" ht="12.75" customHeight="1">
      <c r="A80" s="235"/>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row>
    <row r="81" ht="12.75" customHeight="1">
      <c r="A81" s="235"/>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row>
    <row r="82" ht="12.75" customHeight="1">
      <c r="A82" s="235"/>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row>
    <row r="83" ht="12.75" customHeight="1">
      <c r="A83" s="235"/>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row>
    <row r="84" ht="12.75" customHeight="1">
      <c r="A84" s="235"/>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row>
    <row r="85" ht="12.75" customHeight="1">
      <c r="A85" s="235"/>
      <c r="B85" s="235"/>
      <c r="C85" s="235"/>
      <c r="D85" s="235"/>
      <c r="E85" s="235"/>
      <c r="F85" s="235"/>
      <c r="G85" s="235"/>
      <c r="H85" s="235"/>
      <c r="I85" s="235"/>
      <c r="J85" s="235"/>
      <c r="K85" s="235"/>
      <c r="L85" s="235"/>
      <c r="M85" s="235"/>
      <c r="N85" s="235"/>
      <c r="O85" s="235"/>
      <c r="P85" s="235"/>
      <c r="Q85" s="235"/>
      <c r="R85" s="235"/>
      <c r="S85" s="235"/>
      <c r="T85" s="235"/>
      <c r="U85" s="235"/>
      <c r="V85" s="235"/>
      <c r="W85" s="235"/>
      <c r="X85" s="235"/>
      <c r="Y85" s="235"/>
      <c r="Z85" s="235"/>
    </row>
    <row r="86" ht="12.75" customHeight="1">
      <c r="A86" s="235"/>
      <c r="B86" s="235"/>
      <c r="C86" s="235"/>
      <c r="D86" s="235"/>
      <c r="E86" s="235"/>
      <c r="F86" s="235"/>
      <c r="G86" s="235"/>
      <c r="H86" s="235"/>
      <c r="I86" s="235"/>
      <c r="J86" s="235"/>
      <c r="K86" s="235"/>
      <c r="L86" s="235"/>
      <c r="M86" s="235"/>
      <c r="N86" s="235"/>
      <c r="O86" s="235"/>
      <c r="P86" s="235"/>
      <c r="Q86" s="235"/>
      <c r="R86" s="235"/>
      <c r="S86" s="235"/>
      <c r="T86" s="235"/>
      <c r="U86" s="235"/>
      <c r="V86" s="235"/>
      <c r="W86" s="235"/>
      <c r="X86" s="235"/>
      <c r="Y86" s="235"/>
      <c r="Z86" s="235"/>
    </row>
    <row r="87" ht="12.75" customHeight="1">
      <c r="A87" s="235"/>
      <c r="B87" s="235"/>
      <c r="C87" s="235"/>
      <c r="D87" s="235"/>
      <c r="E87" s="235"/>
      <c r="F87" s="235"/>
      <c r="G87" s="235"/>
      <c r="H87" s="235"/>
      <c r="I87" s="235"/>
      <c r="J87" s="235"/>
      <c r="K87" s="235"/>
      <c r="L87" s="235"/>
      <c r="M87" s="235"/>
      <c r="N87" s="235"/>
      <c r="O87" s="235"/>
      <c r="P87" s="235"/>
      <c r="Q87" s="235"/>
      <c r="R87" s="235"/>
      <c r="S87" s="235"/>
      <c r="T87" s="235"/>
      <c r="U87" s="235"/>
      <c r="V87" s="235"/>
      <c r="W87" s="235"/>
      <c r="X87" s="235"/>
      <c r="Y87" s="235"/>
      <c r="Z87" s="235"/>
    </row>
    <row r="88" ht="12.75" customHeight="1">
      <c r="A88" s="235"/>
      <c r="B88" s="235"/>
      <c r="C88" s="235"/>
      <c r="D88" s="235"/>
      <c r="E88" s="235"/>
      <c r="F88" s="235"/>
      <c r="G88" s="235"/>
      <c r="H88" s="235"/>
      <c r="I88" s="235"/>
      <c r="J88" s="235"/>
      <c r="K88" s="235"/>
      <c r="L88" s="235"/>
      <c r="M88" s="235"/>
      <c r="N88" s="235"/>
      <c r="O88" s="235"/>
      <c r="P88" s="235"/>
      <c r="Q88" s="235"/>
      <c r="R88" s="235"/>
      <c r="S88" s="235"/>
      <c r="T88" s="235"/>
      <c r="U88" s="235"/>
      <c r="V88" s="235"/>
      <c r="W88" s="235"/>
      <c r="X88" s="235"/>
      <c r="Y88" s="235"/>
      <c r="Z88" s="235"/>
    </row>
    <row r="89" ht="12.75" customHeight="1">
      <c r="A89" s="235"/>
      <c r="B89" s="235"/>
      <c r="C89" s="235"/>
      <c r="D89" s="235"/>
      <c r="E89" s="235"/>
      <c r="F89" s="235"/>
      <c r="G89" s="235"/>
      <c r="H89" s="235"/>
      <c r="I89" s="235"/>
      <c r="J89" s="235"/>
      <c r="K89" s="235"/>
      <c r="L89" s="235"/>
      <c r="M89" s="235"/>
      <c r="N89" s="235"/>
      <c r="O89" s="235"/>
      <c r="P89" s="235"/>
      <c r="Q89" s="235"/>
      <c r="R89" s="235"/>
      <c r="S89" s="235"/>
      <c r="T89" s="235"/>
      <c r="U89" s="235"/>
      <c r="V89" s="235"/>
      <c r="W89" s="235"/>
      <c r="X89" s="235"/>
      <c r="Y89" s="235"/>
      <c r="Z89" s="235"/>
    </row>
    <row r="90" ht="12.75" customHeight="1">
      <c r="A90" s="235"/>
      <c r="B90" s="235"/>
      <c r="C90" s="235"/>
      <c r="D90" s="235"/>
      <c r="E90" s="235"/>
      <c r="F90" s="235"/>
      <c r="G90" s="235"/>
      <c r="H90" s="235"/>
      <c r="I90" s="235"/>
      <c r="J90" s="235"/>
      <c r="K90" s="235"/>
      <c r="L90" s="235"/>
      <c r="M90" s="235"/>
      <c r="N90" s="235"/>
      <c r="O90" s="235"/>
      <c r="P90" s="235"/>
      <c r="Q90" s="235"/>
      <c r="R90" s="235"/>
      <c r="S90" s="235"/>
      <c r="T90" s="235"/>
      <c r="U90" s="235"/>
      <c r="V90" s="235"/>
      <c r="W90" s="235"/>
      <c r="X90" s="235"/>
      <c r="Y90" s="235"/>
      <c r="Z90" s="235"/>
    </row>
    <row r="91" ht="12.75" customHeight="1">
      <c r="A91" s="235"/>
      <c r="B91" s="235"/>
      <c r="C91" s="235"/>
      <c r="D91" s="235"/>
      <c r="E91" s="235"/>
      <c r="F91" s="235"/>
      <c r="G91" s="235"/>
      <c r="H91" s="235"/>
      <c r="I91" s="235"/>
      <c r="J91" s="235"/>
      <c r="K91" s="235"/>
      <c r="L91" s="235"/>
      <c r="M91" s="235"/>
      <c r="N91" s="235"/>
      <c r="O91" s="235"/>
      <c r="P91" s="235"/>
      <c r="Q91" s="235"/>
      <c r="R91" s="235"/>
      <c r="S91" s="235"/>
      <c r="T91" s="235"/>
      <c r="U91" s="235"/>
      <c r="V91" s="235"/>
      <c r="W91" s="235"/>
      <c r="X91" s="235"/>
      <c r="Y91" s="235"/>
      <c r="Z91" s="235"/>
    </row>
    <row r="92" ht="12.75" customHeight="1">
      <c r="A92" s="235"/>
      <c r="B92" s="235"/>
      <c r="C92" s="235"/>
      <c r="D92" s="235"/>
      <c r="E92" s="235"/>
      <c r="F92" s="235"/>
      <c r="G92" s="235"/>
      <c r="H92" s="235"/>
      <c r="I92" s="235"/>
      <c r="J92" s="235"/>
      <c r="K92" s="235"/>
      <c r="L92" s="235"/>
      <c r="M92" s="235"/>
      <c r="N92" s="235"/>
      <c r="O92" s="235"/>
      <c r="P92" s="235"/>
      <c r="Q92" s="235"/>
      <c r="R92" s="235"/>
      <c r="S92" s="235"/>
      <c r="T92" s="235"/>
      <c r="U92" s="235"/>
      <c r="V92" s="235"/>
      <c r="W92" s="235"/>
      <c r="X92" s="235"/>
      <c r="Y92" s="235"/>
      <c r="Z92" s="235"/>
    </row>
    <row r="93" ht="12.75" customHeight="1">
      <c r="A93" s="235"/>
      <c r="B93" s="235"/>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5"/>
    </row>
    <row r="94" ht="12.75" customHeight="1">
      <c r="A94" s="235"/>
      <c r="B94" s="235"/>
      <c r="C94" s="235"/>
      <c r="D94" s="235"/>
      <c r="E94" s="235"/>
      <c r="F94" s="235"/>
      <c r="G94" s="235"/>
      <c r="H94" s="235"/>
      <c r="I94" s="235"/>
      <c r="J94" s="235"/>
      <c r="K94" s="235"/>
      <c r="L94" s="235"/>
      <c r="M94" s="235"/>
      <c r="N94" s="235"/>
      <c r="O94" s="235"/>
      <c r="P94" s="235"/>
      <c r="Q94" s="235"/>
      <c r="R94" s="235"/>
      <c r="S94" s="235"/>
      <c r="T94" s="235"/>
      <c r="U94" s="235"/>
      <c r="V94" s="235"/>
      <c r="W94" s="235"/>
      <c r="X94" s="235"/>
      <c r="Y94" s="235"/>
      <c r="Z94" s="235"/>
    </row>
    <row r="95" ht="12.75" customHeight="1">
      <c r="A95" s="235"/>
      <c r="B95" s="235"/>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5"/>
    </row>
    <row r="96" ht="12.75" customHeight="1">
      <c r="A96" s="235"/>
      <c r="B96" s="235"/>
      <c r="C96" s="235"/>
      <c r="D96" s="235"/>
      <c r="E96" s="235"/>
      <c r="F96" s="235"/>
      <c r="G96" s="235"/>
      <c r="H96" s="235"/>
      <c r="I96" s="235"/>
      <c r="J96" s="235"/>
      <c r="K96" s="235"/>
      <c r="L96" s="235"/>
      <c r="M96" s="235"/>
      <c r="N96" s="235"/>
      <c r="O96" s="235"/>
      <c r="P96" s="235"/>
      <c r="Q96" s="235"/>
      <c r="R96" s="235"/>
      <c r="S96" s="235"/>
      <c r="T96" s="235"/>
      <c r="U96" s="235"/>
      <c r="V96" s="235"/>
      <c r="W96" s="235"/>
      <c r="X96" s="235"/>
      <c r="Y96" s="235"/>
      <c r="Z96" s="235"/>
    </row>
    <row r="97" ht="12.75" customHeight="1">
      <c r="A97" s="235"/>
      <c r="B97" s="235"/>
      <c r="C97" s="235"/>
      <c r="D97" s="235"/>
      <c r="E97" s="235"/>
      <c r="F97" s="235"/>
      <c r="G97" s="235"/>
      <c r="H97" s="235"/>
      <c r="I97" s="235"/>
      <c r="J97" s="235"/>
      <c r="K97" s="235"/>
      <c r="L97" s="235"/>
      <c r="M97" s="235"/>
      <c r="N97" s="235"/>
      <c r="O97" s="235"/>
      <c r="P97" s="235"/>
      <c r="Q97" s="235"/>
      <c r="R97" s="235"/>
      <c r="S97" s="235"/>
      <c r="T97" s="235"/>
      <c r="U97" s="235"/>
      <c r="V97" s="235"/>
      <c r="W97" s="235"/>
      <c r="X97" s="235"/>
      <c r="Y97" s="235"/>
      <c r="Z97" s="235"/>
    </row>
    <row r="98" ht="12.75" customHeight="1">
      <c r="A98" s="235"/>
      <c r="B98" s="235"/>
      <c r="C98" s="235"/>
      <c r="D98" s="235"/>
      <c r="E98" s="235"/>
      <c r="F98" s="235"/>
      <c r="G98" s="235"/>
      <c r="H98" s="235"/>
      <c r="I98" s="235"/>
      <c r="J98" s="235"/>
      <c r="K98" s="235"/>
      <c r="L98" s="235"/>
      <c r="M98" s="235"/>
      <c r="N98" s="235"/>
      <c r="O98" s="235"/>
      <c r="P98" s="235"/>
      <c r="Q98" s="235"/>
      <c r="R98" s="235"/>
      <c r="S98" s="235"/>
      <c r="T98" s="235"/>
      <c r="U98" s="235"/>
      <c r="V98" s="235"/>
      <c r="W98" s="235"/>
      <c r="X98" s="235"/>
      <c r="Y98" s="235"/>
      <c r="Z98" s="235"/>
    </row>
    <row r="99" ht="12.75" customHeight="1">
      <c r="A99" s="235"/>
      <c r="B99" s="235"/>
      <c r="C99" s="235"/>
      <c r="D99" s="235"/>
      <c r="E99" s="235"/>
      <c r="F99" s="235"/>
      <c r="G99" s="235"/>
      <c r="H99" s="235"/>
      <c r="I99" s="235"/>
      <c r="J99" s="235"/>
      <c r="K99" s="235"/>
      <c r="L99" s="235"/>
      <c r="M99" s="235"/>
      <c r="N99" s="235"/>
      <c r="O99" s="235"/>
      <c r="P99" s="235"/>
      <c r="Q99" s="235"/>
      <c r="R99" s="235"/>
      <c r="S99" s="235"/>
      <c r="T99" s="235"/>
      <c r="U99" s="235"/>
      <c r="V99" s="235"/>
      <c r="W99" s="235"/>
      <c r="X99" s="235"/>
      <c r="Y99" s="235"/>
      <c r="Z99" s="235"/>
    </row>
    <row r="100" ht="12.75" customHeight="1">
      <c r="A100" s="235"/>
      <c r="B100" s="235"/>
      <c r="C100" s="235"/>
      <c r="D100" s="235"/>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ht="12.75" customHeight="1">
      <c r="A101" s="235"/>
      <c r="B101" s="235"/>
      <c r="C101" s="235"/>
      <c r="D101" s="235"/>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ht="12.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ht="12.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ht="12.75" customHeight="1">
      <c r="A104" s="235"/>
      <c r="B104" s="235"/>
      <c r="C104" s="235"/>
      <c r="D104" s="235"/>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ht="12.75" customHeight="1">
      <c r="A105" s="235"/>
      <c r="B105" s="235"/>
      <c r="C105" s="235"/>
      <c r="D105" s="235"/>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ht="12.7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ht="12.7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ht="12.7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ht="12.7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ht="12.7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ht="12.7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ht="12.7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ht="12.7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ht="12.7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ht="12.7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ht="12.7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ht="12.7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ht="12.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ht="12.7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ht="12.7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ht="12.7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ht="12.7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ht="12.7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ht="12.7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ht="12.7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ht="12.7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ht="12.7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ht="12.7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ht="12.7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ht="12.7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ht="12.7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ht="12.7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ht="12.7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ht="12.7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ht="12.7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ht="12.7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ht="12.7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ht="12.7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ht="12.7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ht="12.7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ht="12.7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ht="12.7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ht="12.7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ht="12.7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ht="12.7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ht="12.7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ht="12.7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ht="12.7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ht="12.7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ht="12.7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ht="12.7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ht="12.7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ht="12.7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ht="12.7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ht="12.7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ht="12.7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ht="12.7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ht="12.7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ht="12.7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ht="12.7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ht="12.7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ht="12.7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ht="12.7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ht="12.7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ht="12.7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ht="12.7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ht="12.7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ht="12.7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ht="12.7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ht="12.7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ht="12.7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ht="12.7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ht="12.7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ht="12.7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ht="12.7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ht="12.7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ht="12.7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ht="12.7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ht="12.7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ht="12.7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ht="12.7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ht="12.7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ht="12.7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ht="12.7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ht="12.7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ht="12.7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ht="12.7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ht="12.7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ht="12.7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ht="12.7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ht="12.7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ht="12.7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ht="12.7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ht="12.7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ht="12.7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ht="12.7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ht="12.7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ht="12.7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ht="12.7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ht="12.7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ht="12.7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ht="12.7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ht="12.7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ht="12.7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ht="12.7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ht="12.7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ht="12.7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ht="12.7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ht="12.7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ht="12.7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ht="12.7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ht="12.7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ht="12.7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ht="12.7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ht="12.7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ht="12.7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ht="12.7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ht="12.7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ht="12.7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ht="12.7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ht="12.7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ht="12.7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ht="12.7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ht="12.7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ht="12.7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ht="12.7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ht="12.7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ht="12.7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ht="12.7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ht="12.7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ht="12.7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ht="12.7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ht="12.7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ht="12.7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ht="12.7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ht="12.7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ht="12.7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ht="12.7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ht="12.7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ht="12.7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ht="12.7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ht="12.7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ht="12.7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ht="12.7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ht="12.7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ht="12.7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ht="12.7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ht="12.7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ht="12.7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ht="12.7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ht="12.7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ht="12.7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ht="12.7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ht="12.7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ht="12.7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ht="12.7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ht="12.7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ht="12.7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ht="12.7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ht="12.7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ht="12.7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ht="12.7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ht="12.7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ht="12.75" customHeight="1">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ht="12.75" customHeight="1">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ht="12.75" customHeight="1">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ht="12.75" customHeight="1">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ht="12.75" customHeight="1">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ht="12.75" customHeight="1">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ht="12.75" customHeight="1">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ht="12.75" customHeight="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ht="12.75" customHeight="1">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ht="12.75" customHeight="1">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ht="12.75" customHeight="1">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ht="12.75" customHeight="1">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ht="12.75" customHeight="1">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ht="12.75" customHeight="1">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ht="12.75" customHeight="1">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ht="12.75" customHeigh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ht="12.75" customHeight="1">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ht="12.75" customHeight="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ht="12.75" customHeight="1">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ht="12.75" customHeight="1">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ht="12.75" customHeight="1">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ht="12.75" customHeight="1">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ht="12.75" customHeight="1">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ht="12.75" customHeight="1">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ht="12.75" customHeight="1">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ht="12.75" customHeight="1">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ht="12.75" customHeigh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ht="12.75" customHeigh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ht="12.75" customHeigh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ht="12.75" customHeigh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ht="12.75" customHeigh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ht="12.75" customHeigh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ht="12.75" customHeight="1">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ht="12.75" customHeight="1">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ht="12.75" customHeight="1">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ht="12.75" customHeight="1">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ht="12.75" customHeight="1">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ht="12.75" customHeight="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ht="12.75" customHeight="1">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ht="12.75" customHeight="1">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ht="12.75" customHeight="1">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ht="12.75" customHeight="1">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ht="12.75" customHeight="1">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ht="12.75" customHeight="1">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ht="12.75" customHeight="1">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ht="12.75" customHeight="1">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ht="12.75" customHeight="1">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ht="12.75" customHeight="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ht="12.75" customHeight="1">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ht="12.75" customHeight="1">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ht="12.75" customHeight="1">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ht="12.75" customHeight="1">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ht="12.75" customHeight="1">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ht="12.75" customHeight="1">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ht="12.75" customHeight="1">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ht="12.75" customHeight="1">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ht="12.75" customHeight="1">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ht="12.75" customHeight="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ht="12.75" customHeight="1">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ht="12.75" customHeight="1">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ht="12.75" customHeight="1">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ht="12.75" customHeight="1">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ht="12.75" customHeight="1">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ht="12.75" customHeight="1">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ht="12.75" customHeight="1">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ht="12.75" customHeight="1">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ht="12.75" customHeight="1">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ht="12.75" customHeight="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ht="12.75" customHeight="1">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ht="12.75" customHeight="1">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ht="12.75" customHeight="1">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ht="12.75" customHeight="1">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ht="12.75" customHeight="1">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ht="12.75" customHeight="1">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ht="12.75" customHeight="1">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ht="12.75" customHeight="1">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ht="12.75" customHeight="1">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ht="12.75" customHeight="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ht="12.75" customHeight="1">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ht="12.75" customHeight="1">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ht="12.75" customHeight="1">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ht="12.75" customHeight="1">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ht="12.75" customHeight="1">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ht="12.75" customHeight="1">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ht="12.75" customHeight="1">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ht="12.75" customHeight="1">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ht="12.75" customHeight="1">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ht="12.75" customHeight="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ht="12.75" customHeight="1">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ht="12.75" customHeight="1">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ht="12.75" customHeight="1">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ht="12.75" customHeight="1">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ht="12.75" customHeight="1">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ht="12.75" customHeight="1">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ht="12.75" customHeight="1">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ht="12.75" customHeight="1">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ht="12.75" customHeight="1">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ht="12.75" customHeight="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ht="12.75" customHeight="1">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ht="12.75" customHeight="1">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ht="12.75" customHeight="1">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ht="12.75" customHeight="1">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ht="12.75" customHeight="1">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ht="12.75" customHeight="1">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ht="12.75" customHeight="1">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ht="12.75" customHeight="1">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ht="12.75" customHeight="1">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ht="12.75" customHeight="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ht="12.75" customHeight="1">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ht="12.75" customHeight="1">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ht="12.75" customHeight="1">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ht="12.75" customHeight="1">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ht="12.75" customHeight="1">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ht="12.75" customHeight="1">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ht="12.75" customHeight="1">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ht="12.75" customHeight="1">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ht="12.75" customHeight="1">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ht="12.75" customHeight="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ht="12.75" customHeight="1">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ht="12.75" customHeight="1">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ht="12.75" customHeight="1">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ht="12.75" customHeight="1">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ht="12.75" customHeight="1">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ht="12.75" customHeight="1">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ht="12.75" customHeight="1">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ht="12.75" customHeight="1">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ht="12.75" customHeight="1">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ht="12.75" customHeight="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ht="12.75" customHeight="1">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ht="12.75" customHeight="1">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ht="12.75" customHeight="1">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ht="12.75" customHeight="1">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ht="12.75" customHeight="1">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ht="12.75" customHeight="1">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ht="12.75" customHeight="1">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ht="12.75" customHeight="1">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ht="12.75" customHeight="1">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ht="12.75" customHeight="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ht="12.75" customHeight="1">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ht="12.75" customHeight="1">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ht="12.75" customHeight="1">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ht="12.75" customHeight="1">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ht="12.75" customHeight="1">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ht="12.75" customHeight="1">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ht="12.75" customHeight="1">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ht="12.75" customHeight="1">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ht="12.75" customHeight="1">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ht="12.75" customHeight="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ht="12.75" customHeight="1">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ht="12.75" customHeight="1">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ht="12.75" customHeight="1">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ht="12.75" customHeight="1">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ht="12.75" customHeight="1">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ht="12.75" customHeight="1">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ht="12.75" customHeight="1">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ht="12.75" customHeight="1">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ht="12.75" customHeight="1">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ht="12.75" customHeight="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ht="12.75" customHeight="1">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ht="12.75" customHeight="1">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ht="12.75" customHeight="1">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ht="12.75" customHeight="1">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ht="12.75" customHeight="1">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ht="12.75" customHeight="1">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ht="12.75" customHeight="1">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ht="12.75" customHeight="1">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ht="12.75" customHeight="1">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ht="12.75" customHeight="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ht="12.75" customHeight="1">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ht="12.75" customHeight="1">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ht="12.75" customHeight="1">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ht="12.75" customHeight="1">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ht="12.75" customHeight="1">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ht="12.75" customHeight="1">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ht="12.75" customHeight="1">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ht="12.75" customHeight="1">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ht="12.75" customHeight="1">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ht="12.75" customHeight="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ht="12.75" customHeight="1">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ht="12.75" customHeight="1">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ht="12.75" customHeight="1">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ht="12.75" customHeight="1">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ht="12.75" customHeight="1">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ht="12.75" customHeight="1">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ht="12.75" customHeight="1">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ht="12.75" customHeight="1">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ht="12.75" customHeight="1">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ht="12.75" customHeight="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ht="12.75" customHeight="1">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ht="12.75" customHeight="1">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ht="12.75" customHeight="1">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ht="12.75" customHeight="1">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ht="12.75" customHeight="1">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ht="12.75" customHeight="1">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ht="12.75" customHeight="1">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ht="12.75" customHeight="1">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ht="12.75" customHeight="1">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ht="12.75" customHeight="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ht="12.75" customHeight="1">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ht="12.75" customHeight="1">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ht="12.75" customHeight="1">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ht="12.75" customHeight="1">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ht="12.75" customHeight="1">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ht="12.75" customHeight="1">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ht="12.75" customHeight="1">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ht="12.75" customHeight="1">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ht="12.75" customHeight="1">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ht="12.75" customHeight="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ht="12.75" customHeight="1">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ht="12.75" customHeight="1">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ht="12.75" customHeight="1">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ht="12.75" customHeight="1">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ht="12.75" customHeight="1">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ht="12.75" customHeight="1">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ht="12.75" customHeight="1">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ht="12.75" customHeight="1">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ht="12.75" customHeight="1">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ht="12.75" customHeight="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ht="12.75" customHeight="1">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ht="12.75" customHeight="1">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ht="12.75" customHeight="1">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ht="12.75" customHeight="1">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ht="12.75" customHeight="1">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ht="12.75" customHeight="1">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ht="12.75" customHeight="1">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ht="12.75" customHeight="1">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ht="12.75" customHeight="1">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ht="12.75" customHeight="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ht="12.75" customHeight="1">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ht="12.75" customHeight="1">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ht="12.75" customHeight="1">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ht="12.75" customHeight="1">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ht="12.75" customHeight="1">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ht="12.75" customHeight="1">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ht="12.75" customHeight="1">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ht="12.75" customHeight="1">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ht="12.75" customHeight="1">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ht="12.75" customHeight="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ht="12.75" customHeight="1">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ht="12.75" customHeight="1">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ht="12.75" customHeight="1">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ht="12.75" customHeight="1">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ht="12.75" customHeight="1">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ht="12.75" customHeight="1">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ht="12.75" customHeight="1">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ht="12.75" customHeight="1">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ht="12.75" customHeight="1">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ht="12.75" customHeight="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ht="12.75" customHeight="1">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ht="12.75" customHeight="1">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ht="12.75" customHeight="1">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ht="12.75" customHeight="1">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ht="12.75" customHeight="1">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ht="12.75" customHeight="1">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ht="12.75" customHeight="1">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ht="12.75" customHeight="1">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ht="12.75" customHeight="1">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ht="12.75" customHeight="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ht="12.75" customHeight="1">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ht="12.75" customHeight="1">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ht="12.75" customHeight="1">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ht="12.75" customHeight="1">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ht="12.75" customHeight="1">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ht="12.75" customHeight="1">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ht="12.75" customHeight="1">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ht="12.75" customHeight="1">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ht="12.75" customHeight="1">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ht="12.75" customHeight="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ht="12.75" customHeight="1">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ht="12.75" customHeight="1">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ht="12.75" customHeight="1">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ht="12.75" customHeight="1">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ht="12.75" customHeight="1">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ht="12.75" customHeight="1">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ht="12.75" customHeight="1">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ht="12.75" customHeight="1">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ht="12.75" customHeight="1">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ht="12.75" customHeight="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ht="12.75" customHeight="1">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ht="12.75" customHeight="1">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ht="12.75" customHeight="1">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ht="12.75" customHeight="1">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ht="12.75" customHeight="1">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ht="12.75" customHeight="1">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ht="12.75" customHeight="1">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ht="12.75" customHeight="1">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ht="12.75" customHeight="1">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ht="12.75" customHeight="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ht="12.75" customHeight="1">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ht="12.75" customHeight="1">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ht="12.75" customHeight="1">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ht="12.75" customHeight="1">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ht="12.75" customHeight="1">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ht="12.75" customHeight="1">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ht="12.75" customHeight="1">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ht="12.75" customHeight="1">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ht="12.75" customHeight="1">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ht="12.75" customHeight="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ht="12.75" customHeight="1">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ht="12.75" customHeight="1">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ht="12.75" customHeight="1">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ht="12.75" customHeight="1">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ht="12.75" customHeight="1">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row r="567" ht="12.75" customHeight="1">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row>
    <row r="568" ht="12.75" customHeight="1">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row>
    <row r="569" ht="12.75" customHeight="1">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row>
    <row r="570" ht="12.75" customHeight="1">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row>
    <row r="571" ht="12.75" customHeight="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row>
    <row r="572" ht="12.75" customHeight="1">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row>
    <row r="573" ht="12.75" customHeight="1">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row>
    <row r="574" ht="12.75" customHeight="1">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row>
    <row r="575" ht="12.75" customHeight="1">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row>
    <row r="576" ht="12.75" customHeight="1">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row>
    <row r="577" ht="12.75" customHeight="1">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row>
    <row r="578" ht="12.75" customHeight="1">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row>
    <row r="579" ht="12.75" customHeight="1">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row>
    <row r="580" ht="12.75" customHeight="1">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row>
    <row r="581" ht="12.75" customHeight="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row>
    <row r="582" ht="12.75" customHeight="1">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row>
    <row r="583" ht="12.75" customHeight="1">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row>
    <row r="584" ht="12.75" customHeight="1">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row>
    <row r="585" ht="12.75" customHeight="1">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row>
    <row r="586" ht="12.75" customHeight="1">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row>
    <row r="587" ht="12.75" customHeight="1">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row>
    <row r="588" ht="12.75" customHeight="1">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row>
    <row r="589" ht="12.75" customHeight="1">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row>
    <row r="590" ht="12.75" customHeight="1">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row>
    <row r="591" ht="12.75" customHeight="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row>
    <row r="592" ht="12.75" customHeight="1">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row>
    <row r="593" ht="12.75" customHeight="1">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row>
    <row r="594" ht="12.75" customHeight="1">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row>
    <row r="595" ht="12.75" customHeight="1">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row>
    <row r="596" ht="12.75" customHeight="1">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row>
    <row r="597" ht="12.75" customHeight="1">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row>
    <row r="598" ht="12.75" customHeight="1">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row>
    <row r="599" ht="12.75" customHeight="1">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row>
    <row r="600" ht="12.75" customHeight="1">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row>
    <row r="601" ht="12.75" customHeight="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row>
    <row r="602" ht="12.75" customHeight="1">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row>
    <row r="603" ht="12.75" customHeight="1">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row>
    <row r="604" ht="12.75" customHeight="1">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row>
    <row r="605" ht="12.75" customHeight="1">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row>
    <row r="606" ht="12.75" customHeight="1">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row>
    <row r="607" ht="12.75" customHeight="1">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row>
    <row r="608" ht="12.75" customHeight="1">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row>
    <row r="609" ht="12.75" customHeight="1">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row>
    <row r="610" ht="12.75" customHeight="1">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row>
    <row r="611" ht="12.75" customHeight="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row>
    <row r="612" ht="12.75" customHeight="1">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row>
    <row r="613" ht="12.75" customHeight="1">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row>
    <row r="614" ht="12.75" customHeight="1">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row>
    <row r="615" ht="12.75" customHeight="1">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row>
    <row r="616" ht="12.75" customHeight="1">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row>
    <row r="617" ht="12.75" customHeight="1">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row>
    <row r="618" ht="12.75" customHeight="1">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row>
    <row r="619" ht="12.75" customHeight="1">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row>
    <row r="620" ht="12.75" customHeight="1">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row>
    <row r="621" ht="12.75" customHeight="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row>
    <row r="622" ht="12.75" customHeight="1">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row>
    <row r="623" ht="12.75" customHeight="1">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row>
    <row r="624" ht="12.75" customHeight="1">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row>
    <row r="625" ht="12.75" customHeight="1">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row>
    <row r="626" ht="12.75" customHeight="1">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row>
    <row r="627" ht="12.75" customHeight="1">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row>
    <row r="628" ht="12.75" customHeight="1">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row>
    <row r="629" ht="12.75" customHeight="1">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row>
    <row r="630" ht="12.75" customHeight="1">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row>
    <row r="631" ht="12.75" customHeight="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row>
    <row r="632" ht="12.75" customHeight="1">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row>
    <row r="633" ht="12.75" customHeight="1">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row>
    <row r="634" ht="12.75" customHeight="1">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row>
    <row r="635" ht="12.75" customHeight="1">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row>
    <row r="636" ht="12.75" customHeight="1">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row>
    <row r="637" ht="12.75" customHeight="1">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row>
    <row r="638" ht="12.75" customHeight="1">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row>
    <row r="639" ht="12.75" customHeight="1">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row>
    <row r="640" ht="12.75" customHeight="1">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row>
    <row r="641" ht="12.75" customHeight="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row>
    <row r="642" ht="12.75" customHeight="1">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row>
    <row r="643" ht="12.75" customHeight="1">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row>
    <row r="644" ht="12.75" customHeight="1">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row>
    <row r="645" ht="12.75" customHeight="1">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row>
    <row r="646" ht="12.75" customHeight="1">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row>
    <row r="647" ht="12.75" customHeight="1">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row>
    <row r="648" ht="12.75" customHeight="1">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row>
    <row r="649" ht="12.75" customHeight="1">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row>
    <row r="650" ht="12.75" customHeight="1">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row>
    <row r="651" ht="12.75" customHeight="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row>
    <row r="652" ht="12.75" customHeight="1">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row>
    <row r="653" ht="12.75" customHeight="1">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row>
    <row r="654" ht="12.75" customHeight="1">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row>
    <row r="655" ht="12.75" customHeight="1">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row>
    <row r="656" ht="12.75" customHeight="1">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row>
    <row r="657" ht="12.75" customHeight="1">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row>
    <row r="658" ht="12.75" customHeight="1">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row>
    <row r="659" ht="12.75" customHeight="1">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row>
    <row r="660" ht="12.75" customHeight="1">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row>
    <row r="661" ht="12.75" customHeight="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row>
    <row r="662" ht="12.75" customHeight="1">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row>
    <row r="663" ht="12.75" customHeight="1">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row>
    <row r="664" ht="12.75" customHeight="1">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row>
    <row r="665" ht="12.75" customHeight="1">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row>
    <row r="666" ht="12.75" customHeight="1">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row>
    <row r="667" ht="12.75" customHeight="1">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row>
    <row r="668" ht="12.75" customHeight="1">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row>
    <row r="669" ht="12.75" customHeight="1">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row>
    <row r="670" ht="12.75" customHeight="1">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row>
    <row r="671" ht="12.75" customHeight="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row>
    <row r="672" ht="12.75" customHeight="1">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row>
    <row r="673" ht="12.75" customHeight="1">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row>
    <row r="674" ht="12.75" customHeight="1">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row>
    <row r="675" ht="12.75" customHeight="1">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row>
    <row r="676" ht="12.75" customHeight="1">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row>
    <row r="677" ht="12.75" customHeight="1">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row>
    <row r="678" ht="12.75" customHeight="1">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row>
    <row r="679" ht="12.75" customHeight="1">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row>
    <row r="680" ht="12.75" customHeight="1">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row>
    <row r="681" ht="12.75" customHeight="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row>
    <row r="682" ht="12.75" customHeight="1">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row>
    <row r="683" ht="12.75" customHeight="1">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row>
    <row r="684" ht="12.75" customHeight="1">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row>
    <row r="685" ht="12.75" customHeight="1">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row>
    <row r="686" ht="12.75" customHeight="1">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row>
    <row r="687" ht="12.75" customHeight="1">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row>
    <row r="688" ht="12.75" customHeight="1">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row>
    <row r="689" ht="12.75" customHeight="1">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row>
    <row r="690" ht="12.75" customHeight="1">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row>
    <row r="691" ht="12.75" customHeight="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row>
    <row r="692" ht="12.75" customHeight="1">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row>
    <row r="693" ht="12.75" customHeight="1">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row>
    <row r="694" ht="12.75" customHeight="1">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row>
    <row r="695" ht="12.75" customHeight="1">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row>
    <row r="696" ht="12.75" customHeight="1">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row>
    <row r="697" ht="12.75" customHeight="1">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row>
    <row r="698" ht="12.75" customHeight="1">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row>
    <row r="699" ht="12.75" customHeight="1">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row>
    <row r="700" ht="12.75" customHeight="1">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row>
    <row r="701" ht="12.75" customHeight="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row>
    <row r="702" ht="12.75" customHeight="1">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row>
    <row r="703" ht="12.75" customHeight="1">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row>
    <row r="704" ht="12.75" customHeight="1">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row>
    <row r="705" ht="12.75" customHeight="1">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row>
    <row r="706" ht="12.75" customHeight="1">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row>
    <row r="707" ht="12.75" customHeight="1">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row>
    <row r="708" ht="12.75" customHeight="1">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row>
    <row r="709" ht="12.75" customHeight="1">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row>
    <row r="710" ht="12.75" customHeight="1">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row>
    <row r="711" ht="12.75" customHeight="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row>
    <row r="712" ht="12.75" customHeight="1">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row>
    <row r="713" ht="12.75" customHeight="1">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row>
    <row r="714" ht="12.75" customHeight="1">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row>
    <row r="715" ht="12.75" customHeight="1">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row>
    <row r="716" ht="12.75" customHeight="1">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row>
    <row r="717" ht="12.75" customHeight="1">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row>
    <row r="718" ht="12.75" customHeight="1">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row>
    <row r="719" ht="12.75" customHeight="1">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row>
    <row r="720" ht="12.75" customHeight="1">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row>
    <row r="721" ht="12.75" customHeight="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row>
    <row r="722" ht="12.75" customHeight="1">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row>
    <row r="723" ht="12.75" customHeight="1">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row>
    <row r="724" ht="12.75" customHeight="1">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row>
    <row r="725" ht="12.75" customHeight="1">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row>
    <row r="726" ht="12.75" customHeight="1">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row>
    <row r="727" ht="12.75" customHeight="1">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row>
    <row r="728" ht="12.75" customHeight="1">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row>
    <row r="729" ht="12.75" customHeight="1">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row>
    <row r="730" ht="12.75" customHeight="1">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row>
    <row r="731" ht="12.75" customHeight="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row>
    <row r="732" ht="12.75" customHeight="1">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row>
    <row r="733" ht="12.75" customHeight="1">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row>
    <row r="734" ht="12.75" customHeight="1">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row>
    <row r="735" ht="12.75" customHeight="1">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row>
    <row r="736" ht="12.75" customHeight="1">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row>
    <row r="737" ht="12.75" customHeight="1">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row>
    <row r="738" ht="12.75" customHeight="1">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row>
    <row r="739" ht="12.75" customHeight="1">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row>
    <row r="740" ht="12.75" customHeight="1">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row>
    <row r="741" ht="12.75" customHeight="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row>
    <row r="742" ht="12.75" customHeight="1">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row>
    <row r="743" ht="12.75" customHeight="1">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row>
    <row r="744" ht="12.75" customHeight="1">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row>
    <row r="745" ht="12.75" customHeight="1">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row>
    <row r="746" ht="12.75" customHeight="1">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row>
    <row r="747" ht="12.75" customHeight="1">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row>
    <row r="748" ht="12.75" customHeight="1">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row>
    <row r="749" ht="12.75" customHeight="1">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row>
    <row r="750" ht="12.75" customHeight="1">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row>
    <row r="751" ht="12.75" customHeight="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row>
    <row r="752" ht="12.75" customHeight="1">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row>
    <row r="753" ht="12.75" customHeight="1">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row>
    <row r="754" ht="12.75" customHeight="1">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row>
    <row r="755" ht="12.75" customHeight="1">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row>
    <row r="756" ht="12.75" customHeight="1">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row>
    <row r="757" ht="12.75" customHeight="1">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row>
    <row r="758" ht="12.75" customHeight="1">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row>
    <row r="759" ht="12.75" customHeight="1">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row>
    <row r="760" ht="12.75" customHeight="1">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row>
    <row r="761" ht="12.75" customHeight="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row>
    <row r="762" ht="12.75" customHeight="1">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row>
    <row r="763" ht="12.75" customHeight="1">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row>
    <row r="764" ht="12.75" customHeight="1">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row>
    <row r="765" ht="12.75" customHeight="1">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row>
    <row r="766" ht="12.75" customHeight="1">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row>
    <row r="767" ht="12.75" customHeight="1">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row>
    <row r="768" ht="12.75" customHeight="1">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row>
    <row r="769" ht="12.75" customHeight="1">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row>
    <row r="770" ht="12.75" customHeight="1">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row>
    <row r="771" ht="12.75" customHeight="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row>
    <row r="772" ht="12.75" customHeight="1">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row>
    <row r="773" ht="12.75" customHeight="1">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row>
    <row r="774" ht="12.75" customHeight="1">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row>
    <row r="775" ht="12.75" customHeight="1">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row>
    <row r="776" ht="12.75" customHeight="1">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row>
    <row r="777" ht="12.75" customHeight="1">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row>
    <row r="778" ht="12.75" customHeight="1">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row>
    <row r="779" ht="12.75" customHeight="1">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row>
    <row r="780" ht="12.75" customHeight="1">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row>
    <row r="781" ht="12.75" customHeight="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row>
    <row r="782" ht="12.75" customHeight="1">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row>
    <row r="783" ht="12.75" customHeight="1">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row>
    <row r="784" ht="12.75" customHeight="1">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row>
    <row r="785" ht="12.75" customHeight="1">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row>
    <row r="786" ht="12.75" customHeight="1">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row>
    <row r="787" ht="12.75" customHeight="1">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row>
    <row r="788" ht="12.75" customHeight="1">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row>
    <row r="789" ht="12.75" customHeight="1">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row>
    <row r="790" ht="12.75" customHeight="1">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row>
    <row r="791" ht="12.75" customHeight="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row>
    <row r="792" ht="12.75" customHeight="1">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row>
    <row r="793" ht="12.75" customHeight="1">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row>
    <row r="794" ht="12.75" customHeight="1">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row>
    <row r="795" ht="12.75" customHeight="1">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row>
    <row r="796" ht="12.75" customHeight="1">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row>
    <row r="797" ht="12.75" customHeight="1">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row>
    <row r="798" ht="12.75" customHeight="1">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row>
    <row r="799" ht="12.75" customHeight="1">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row>
    <row r="800" ht="12.75" customHeight="1">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row>
    <row r="801" ht="12.75" customHeight="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row>
    <row r="802" ht="12.75" customHeight="1">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row>
    <row r="803" ht="12.75" customHeight="1">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row>
    <row r="804" ht="12.75" customHeight="1">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row>
    <row r="805" ht="12.75" customHeight="1">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row>
    <row r="806" ht="12.75" customHeight="1">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row>
    <row r="807" ht="12.75" customHeight="1">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row>
    <row r="808" ht="12.75" customHeight="1">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row>
    <row r="809" ht="12.75" customHeight="1">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row>
    <row r="810" ht="12.75" customHeight="1">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row>
    <row r="811" ht="12.75" customHeight="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row>
    <row r="812" ht="12.75" customHeight="1">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row>
    <row r="813" ht="12.75" customHeight="1">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row>
    <row r="814" ht="12.75" customHeight="1">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row>
    <row r="815" ht="12.75" customHeight="1">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row>
    <row r="816" ht="12.75" customHeight="1">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row>
    <row r="817" ht="12.75" customHeight="1">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row>
    <row r="818" ht="12.75" customHeight="1">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row>
    <row r="819" ht="12.75" customHeight="1">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row>
    <row r="820" ht="12.75" customHeight="1">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row>
    <row r="821" ht="12.75" customHeight="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row>
    <row r="822" ht="12.75" customHeight="1">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row>
    <row r="823" ht="12.75" customHeight="1">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row>
    <row r="824" ht="12.75" customHeight="1">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row>
    <row r="825" ht="12.75" customHeight="1">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row>
    <row r="826" ht="12.75" customHeight="1">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row>
    <row r="827" ht="12.75" customHeight="1">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row>
    <row r="828" ht="12.75" customHeight="1">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row>
    <row r="829" ht="12.75" customHeight="1">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row>
    <row r="830" ht="12.75" customHeight="1">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row>
    <row r="831" ht="12.75" customHeight="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row>
    <row r="832" ht="12.75" customHeight="1">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row>
    <row r="833" ht="12.75" customHeight="1">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row>
    <row r="834" ht="12.75" customHeight="1">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row>
    <row r="835" ht="12.75" customHeight="1">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row>
    <row r="836" ht="12.75" customHeight="1">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row>
    <row r="837" ht="12.75" customHeight="1">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row>
    <row r="838" ht="12.75" customHeight="1">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row>
    <row r="839" ht="12.75" customHeight="1">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row>
    <row r="840" ht="12.75" customHeight="1">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row>
    <row r="841" ht="12.75" customHeight="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row>
    <row r="842" ht="12.75" customHeight="1">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row>
    <row r="843" ht="12.75" customHeight="1">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row>
    <row r="844" ht="12.75" customHeight="1">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row>
    <row r="845" ht="12.75" customHeight="1">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row>
    <row r="846" ht="12.75" customHeight="1">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row>
    <row r="847" ht="12.75" customHeight="1">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row>
    <row r="848" ht="12.75" customHeight="1">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row>
    <row r="849" ht="12.75" customHeight="1">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row>
    <row r="850" ht="12.75" customHeight="1">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row>
    <row r="851" ht="12.75" customHeight="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row>
    <row r="852" ht="12.75" customHeight="1">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row>
    <row r="853" ht="12.75" customHeight="1">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row>
    <row r="854" ht="12.75" customHeight="1">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row>
    <row r="855" ht="12.75" customHeight="1">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row>
    <row r="856" ht="12.75" customHeight="1">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row>
    <row r="857" ht="12.75" customHeight="1">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row>
    <row r="858" ht="12.75" customHeight="1">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row>
    <row r="859" ht="12.75" customHeight="1">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row>
    <row r="860" ht="12.75" customHeight="1">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row>
    <row r="861" ht="12.75" customHeight="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row>
    <row r="862" ht="12.75" customHeight="1">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row>
    <row r="863" ht="12.75" customHeight="1">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row>
    <row r="864" ht="12.75" customHeight="1">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row>
    <row r="865" ht="12.75" customHeight="1">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row>
    <row r="866" ht="12.75" customHeight="1">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row>
    <row r="867" ht="12.75" customHeight="1">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row>
    <row r="868" ht="12.75" customHeight="1">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row>
    <row r="869" ht="12.75" customHeight="1">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row>
    <row r="870" ht="12.75" customHeight="1">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row>
    <row r="871" ht="12.75" customHeight="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row>
    <row r="872" ht="12.75" customHeight="1">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row>
    <row r="873" ht="12.75" customHeight="1">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row>
    <row r="874" ht="12.75" customHeight="1">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row>
    <row r="875" ht="12.75" customHeight="1">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row>
    <row r="876" ht="12.75" customHeight="1">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row>
    <row r="877" ht="12.75" customHeight="1">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row>
    <row r="878" ht="12.75" customHeight="1">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row>
    <row r="879" ht="12.75" customHeight="1">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row>
    <row r="880" ht="12.75" customHeight="1">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row>
    <row r="881" ht="12.75" customHeight="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row>
    <row r="882" ht="12.75" customHeight="1">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row>
    <row r="883" ht="12.75" customHeight="1">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row>
    <row r="884" ht="12.75" customHeight="1">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row>
    <row r="885" ht="12.75" customHeight="1">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row>
    <row r="886" ht="12.75" customHeight="1">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row>
    <row r="887" ht="12.75" customHeight="1">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row>
    <row r="888" ht="12.75" customHeight="1">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row>
    <row r="889" ht="12.75" customHeight="1">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row>
    <row r="890" ht="12.75" customHeight="1">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row>
    <row r="891" ht="12.75" customHeight="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row>
    <row r="892" ht="12.75" customHeight="1">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row>
    <row r="893" ht="12.75" customHeight="1">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row>
    <row r="894" ht="12.75" customHeight="1">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row>
    <row r="895" ht="12.75" customHeight="1">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row>
    <row r="896" ht="12.75" customHeight="1">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row>
    <row r="897" ht="12.75" customHeight="1">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row>
    <row r="898" ht="12.75" customHeight="1">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row>
    <row r="899" ht="12.75" customHeight="1">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row>
    <row r="900" ht="12.75" customHeight="1">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row>
    <row r="901" ht="12.75" customHeight="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row>
    <row r="902" ht="12.75" customHeight="1">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row>
    <row r="903" ht="12.75" customHeight="1">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row>
    <row r="904" ht="12.75" customHeight="1">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row>
    <row r="905" ht="12.75" customHeight="1">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row>
    <row r="906" ht="12.75" customHeight="1">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row>
    <row r="907" ht="12.75" customHeight="1">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row>
    <row r="908" ht="12.75" customHeight="1">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row>
    <row r="909" ht="12.75" customHeight="1">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row>
    <row r="910" ht="12.75" customHeight="1">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row>
    <row r="911" ht="12.75" customHeight="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row>
    <row r="912" ht="12.75" customHeight="1">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row>
    <row r="913" ht="12.75" customHeight="1">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row>
    <row r="914" ht="12.75" customHeight="1">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row>
    <row r="915" ht="12.75" customHeight="1">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row>
    <row r="916" ht="12.75" customHeight="1">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row>
    <row r="917" ht="12.75" customHeight="1">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row>
    <row r="918" ht="12.75" customHeight="1">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row>
    <row r="919" ht="12.75" customHeight="1">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row>
    <row r="920" ht="12.75" customHeight="1">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row>
    <row r="921" ht="12.75" customHeight="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row>
    <row r="922" ht="12.75" customHeight="1">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row>
    <row r="923" ht="12.75" customHeight="1">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row>
    <row r="924" ht="12.75" customHeight="1">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row>
    <row r="925" ht="12.75" customHeight="1">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row>
    <row r="926" ht="12.75" customHeight="1">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row>
    <row r="927" ht="12.75" customHeight="1">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row>
    <row r="928" ht="12.75" customHeight="1">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row>
    <row r="929" ht="12.75" customHeight="1">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row>
  </sheetData>
  <mergeCells count="57">
    <mergeCell ref="G6:I6"/>
    <mergeCell ref="A10:Z10"/>
    <mergeCell ref="B3:I3"/>
    <mergeCell ref="B4:I4"/>
    <mergeCell ref="C5:D5"/>
    <mergeCell ref="E5:F5"/>
    <mergeCell ref="G5:I5"/>
    <mergeCell ref="C6:D6"/>
    <mergeCell ref="E6:F6"/>
    <mergeCell ref="H11:H13"/>
    <mergeCell ref="I11:I13"/>
    <mergeCell ref="J11:J13"/>
    <mergeCell ref="C11:C13"/>
    <mergeCell ref="C14:C17"/>
    <mergeCell ref="D14:D17"/>
    <mergeCell ref="E14:E17"/>
    <mergeCell ref="F14:F17"/>
    <mergeCell ref="G14:G17"/>
    <mergeCell ref="H14:H17"/>
    <mergeCell ref="I14:I17"/>
    <mergeCell ref="J14:J17"/>
    <mergeCell ref="D18:D25"/>
    <mergeCell ref="E18:E25"/>
    <mergeCell ref="H18:H25"/>
    <mergeCell ref="I18:I25"/>
    <mergeCell ref="J18:J25"/>
    <mergeCell ref="A18:A25"/>
    <mergeCell ref="C18:C25"/>
    <mergeCell ref="A11:A13"/>
    <mergeCell ref="B11:B34"/>
    <mergeCell ref="D11:D13"/>
    <mergeCell ref="E11:E13"/>
    <mergeCell ref="F11:F13"/>
    <mergeCell ref="G11:G13"/>
    <mergeCell ref="A14:A17"/>
    <mergeCell ref="F18:F25"/>
    <mergeCell ref="G18:G25"/>
    <mergeCell ref="A26:A28"/>
    <mergeCell ref="C26:C28"/>
    <mergeCell ref="D26:D28"/>
    <mergeCell ref="E26:E28"/>
    <mergeCell ref="F26:F28"/>
    <mergeCell ref="G26:G28"/>
    <mergeCell ref="H26:H28"/>
    <mergeCell ref="I26:I28"/>
    <mergeCell ref="J26:J28"/>
    <mergeCell ref="K26:K28"/>
    <mergeCell ref="A29:A34"/>
    <mergeCell ref="C29:C34"/>
    <mergeCell ref="D29:D34"/>
    <mergeCell ref="E29:E34"/>
    <mergeCell ref="F29:F34"/>
    <mergeCell ref="G29:G34"/>
    <mergeCell ref="H29:H34"/>
    <mergeCell ref="I29:I34"/>
    <mergeCell ref="J29:J34"/>
    <mergeCell ref="K29:K34"/>
  </mergeCells>
  <dataValidations>
    <dataValidation type="list" allowBlank="1" showErrorMessage="1" sqref="I9 I11 I14 I18 I26 I29">
      <formula1>$O$2:$O$6</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64.57"/>
    <col customWidth="1" min="3" max="3" width="55.29"/>
    <col customWidth="1" min="4" max="4" width="49.71"/>
    <col customWidth="1" min="5" max="5" width="47.43"/>
    <col customWidth="1" min="6" max="6" width="95.0"/>
    <col customWidth="1" min="7" max="7" width="73.14"/>
    <col customWidth="1" min="8" max="8" width="52.57"/>
    <col customWidth="1" min="9" max="9" width="7.0"/>
    <col customWidth="1" min="10" max="10" width="14.0"/>
    <col customWidth="1" min="11" max="12" width="15.86"/>
    <col customWidth="1" min="13" max="26" width="10.29"/>
  </cols>
  <sheetData>
    <row r="1" ht="12.75" customHeight="1">
      <c r="A1" s="235"/>
      <c r="B1" s="235"/>
      <c r="C1" s="235"/>
      <c r="D1" s="235"/>
      <c r="E1" s="235"/>
      <c r="F1" s="236"/>
      <c r="G1" s="236"/>
      <c r="H1" s="235"/>
      <c r="I1" s="235"/>
      <c r="J1" s="235"/>
      <c r="K1" s="235"/>
      <c r="L1" s="235"/>
      <c r="M1" s="235"/>
      <c r="N1" s="235"/>
      <c r="O1" s="235"/>
      <c r="P1" s="235"/>
      <c r="Q1" s="235"/>
      <c r="R1" s="235"/>
      <c r="S1" s="235"/>
      <c r="T1" s="235"/>
      <c r="U1" s="235"/>
      <c r="V1" s="235"/>
      <c r="W1" s="235"/>
      <c r="X1" s="235"/>
      <c r="Y1" s="235"/>
      <c r="Z1" s="235"/>
    </row>
    <row r="2" ht="12.75" customHeight="1">
      <c r="A2" s="237" t="s">
        <v>166</v>
      </c>
      <c r="B2" s="238" t="s">
        <v>702</v>
      </c>
      <c r="C2" s="239"/>
      <c r="D2" s="239"/>
      <c r="E2" s="239"/>
      <c r="F2" s="239"/>
      <c r="G2" s="239"/>
      <c r="H2" s="239"/>
      <c r="I2" s="240"/>
      <c r="J2" s="235"/>
      <c r="K2" s="235"/>
      <c r="L2" s="235"/>
      <c r="M2" s="235"/>
      <c r="N2" s="235"/>
      <c r="O2" s="241" t="s">
        <v>168</v>
      </c>
      <c r="P2" s="235"/>
      <c r="Q2" s="235"/>
      <c r="R2" s="235"/>
      <c r="S2" s="235"/>
      <c r="T2" s="235"/>
      <c r="U2" s="235"/>
      <c r="V2" s="235"/>
      <c r="W2" s="235"/>
      <c r="X2" s="235"/>
      <c r="Y2" s="235"/>
      <c r="Z2" s="235"/>
    </row>
    <row r="3" ht="12.75" customHeight="1">
      <c r="A3" s="242" t="s">
        <v>169</v>
      </c>
      <c r="B3" s="243"/>
      <c r="C3" s="6"/>
      <c r="D3" s="6"/>
      <c r="E3" s="6"/>
      <c r="F3" s="6"/>
      <c r="G3" s="6"/>
      <c r="H3" s="6"/>
      <c r="I3" s="244"/>
      <c r="J3" s="235"/>
      <c r="K3" s="235"/>
      <c r="L3" s="235"/>
      <c r="M3" s="235"/>
      <c r="N3" s="235"/>
      <c r="O3" s="245" t="s">
        <v>170</v>
      </c>
      <c r="P3" s="235"/>
      <c r="Q3" s="235"/>
      <c r="R3" s="235"/>
      <c r="S3" s="235"/>
      <c r="T3" s="235"/>
      <c r="U3" s="235"/>
      <c r="V3" s="235"/>
      <c r="W3" s="235"/>
      <c r="X3" s="235"/>
      <c r="Y3" s="235"/>
      <c r="Z3" s="235"/>
    </row>
    <row r="4" ht="12.75" customHeight="1">
      <c r="A4" s="242" t="s">
        <v>171</v>
      </c>
      <c r="B4" s="243" t="s">
        <v>172</v>
      </c>
      <c r="C4" s="6"/>
      <c r="D4" s="6"/>
      <c r="E4" s="6"/>
      <c r="F4" s="6"/>
      <c r="G4" s="6"/>
      <c r="H4" s="6"/>
      <c r="I4" s="244"/>
      <c r="J4" s="235"/>
      <c r="K4" s="235"/>
      <c r="L4" s="235"/>
      <c r="M4" s="235"/>
      <c r="N4" s="235"/>
      <c r="O4" s="246" t="s">
        <v>173</v>
      </c>
      <c r="P4" s="235"/>
      <c r="Q4" s="235"/>
      <c r="R4" s="235"/>
      <c r="S4" s="235"/>
      <c r="T4" s="235"/>
      <c r="U4" s="235"/>
      <c r="V4" s="235"/>
      <c r="W4" s="235"/>
      <c r="X4" s="235"/>
      <c r="Y4" s="235"/>
      <c r="Z4" s="235"/>
    </row>
    <row r="5" ht="15.0" customHeight="1">
      <c r="A5" s="247" t="s">
        <v>168</v>
      </c>
      <c r="B5" s="248" t="s">
        <v>170</v>
      </c>
      <c r="C5" s="249" t="s">
        <v>174</v>
      </c>
      <c r="D5" s="7"/>
      <c r="E5" s="250" t="s">
        <v>175</v>
      </c>
      <c r="F5" s="7"/>
      <c r="G5" s="251" t="s">
        <v>176</v>
      </c>
      <c r="H5" s="6"/>
      <c r="I5" s="244"/>
      <c r="J5" s="235"/>
      <c r="K5" s="252"/>
      <c r="L5" s="253"/>
      <c r="M5" s="235"/>
      <c r="N5" s="235"/>
      <c r="O5" s="235" t="s">
        <v>177</v>
      </c>
      <c r="P5" s="235"/>
      <c r="Q5" s="235"/>
      <c r="R5" s="235"/>
      <c r="S5" s="235"/>
      <c r="T5" s="235"/>
      <c r="U5" s="235"/>
      <c r="V5" s="235"/>
      <c r="W5" s="235"/>
      <c r="X5" s="235"/>
      <c r="Y5" s="235"/>
      <c r="Z5" s="235"/>
    </row>
    <row r="6" ht="15.75" customHeight="1">
      <c r="A6" s="254">
        <f>COUNTIF(I8:I563,"Pass")</f>
        <v>71</v>
      </c>
      <c r="B6" s="255">
        <f>COUNTIF(I8:I563,"Fail")</f>
        <v>0</v>
      </c>
      <c r="C6" s="256">
        <f>G6-E6-B6-A6</f>
        <v>19</v>
      </c>
      <c r="D6" s="257"/>
      <c r="E6" s="256">
        <f>COUNTIF(I$8:I$563,"N/A")</f>
        <v>0</v>
      </c>
      <c r="F6" s="257"/>
      <c r="G6" s="258">
        <f>COUNTA(A8:A563)</f>
        <v>90</v>
      </c>
      <c r="H6" s="259"/>
      <c r="I6" s="260"/>
      <c r="J6" s="235"/>
      <c r="K6" s="235"/>
      <c r="L6" s="235"/>
      <c r="M6" s="235"/>
      <c r="N6" s="235"/>
      <c r="O6" s="235"/>
      <c r="P6" s="235"/>
      <c r="Q6" s="235"/>
      <c r="R6" s="235"/>
      <c r="S6" s="235"/>
      <c r="T6" s="235"/>
      <c r="U6" s="235"/>
      <c r="V6" s="235"/>
      <c r="W6" s="235"/>
      <c r="X6" s="235"/>
      <c r="Y6" s="235"/>
      <c r="Z6" s="235"/>
    </row>
    <row r="7" ht="12.75" customHeight="1">
      <c r="A7" s="279"/>
      <c r="B7" s="262"/>
      <c r="C7" s="263"/>
      <c r="D7" s="280"/>
      <c r="E7" s="264"/>
      <c r="F7" s="265"/>
      <c r="G7" s="265"/>
      <c r="H7" s="266"/>
      <c r="I7" s="267"/>
      <c r="J7" s="235"/>
      <c r="K7" s="235"/>
      <c r="L7" s="235"/>
      <c r="M7" s="235"/>
      <c r="N7" s="235"/>
      <c r="O7" s="235"/>
      <c r="P7" s="235"/>
      <c r="Q7" s="235"/>
      <c r="R7" s="235"/>
      <c r="S7" s="235"/>
      <c r="T7" s="235"/>
      <c r="U7" s="235"/>
      <c r="V7" s="235"/>
      <c r="W7" s="235"/>
      <c r="X7" s="235"/>
      <c r="Y7" s="235"/>
      <c r="Z7" s="235"/>
    </row>
    <row r="8" ht="12.75" customHeight="1">
      <c r="A8" s="235"/>
      <c r="B8" s="235"/>
      <c r="C8" s="235"/>
      <c r="D8" s="235"/>
      <c r="E8" s="235"/>
      <c r="F8" s="235"/>
      <c r="G8" s="235"/>
      <c r="H8" s="235"/>
      <c r="I8" s="235"/>
      <c r="J8" s="235"/>
      <c r="K8" s="235"/>
      <c r="L8" s="235"/>
      <c r="M8" s="235"/>
      <c r="N8" s="235"/>
      <c r="O8" s="235"/>
      <c r="P8" s="235"/>
      <c r="Q8" s="235"/>
      <c r="R8" s="235"/>
      <c r="S8" s="235"/>
      <c r="T8" s="235"/>
      <c r="U8" s="235"/>
      <c r="V8" s="235"/>
      <c r="W8" s="235"/>
      <c r="X8" s="235"/>
      <c r="Y8" s="235"/>
      <c r="Z8" s="235"/>
    </row>
    <row r="9" ht="32.25" customHeight="1">
      <c r="A9" s="181" t="s">
        <v>178</v>
      </c>
      <c r="B9" s="181" t="s">
        <v>179</v>
      </c>
      <c r="C9" s="181" t="s">
        <v>180</v>
      </c>
      <c r="D9" s="181" t="s">
        <v>181</v>
      </c>
      <c r="E9" s="181" t="s">
        <v>182</v>
      </c>
      <c r="F9" s="181" t="s">
        <v>183</v>
      </c>
      <c r="G9" s="181" t="s">
        <v>184</v>
      </c>
      <c r="H9" s="181" t="s">
        <v>185</v>
      </c>
      <c r="I9" s="181" t="s">
        <v>186</v>
      </c>
      <c r="J9" s="181" t="s">
        <v>187</v>
      </c>
      <c r="K9" s="181" t="s">
        <v>188</v>
      </c>
      <c r="L9" s="182"/>
      <c r="M9" s="183"/>
      <c r="N9" s="182"/>
      <c r="O9" s="182"/>
      <c r="P9" s="182"/>
      <c r="Q9" s="182"/>
      <c r="R9" s="182"/>
      <c r="S9" s="182"/>
      <c r="T9" s="182"/>
      <c r="U9" s="182"/>
      <c r="V9" s="182"/>
      <c r="W9" s="182"/>
      <c r="X9" s="182"/>
      <c r="Y9" s="182"/>
      <c r="Z9" s="182"/>
      <c r="AA9" s="182"/>
      <c r="AB9" s="182"/>
      <c r="AC9" s="182"/>
      <c r="AD9" s="182"/>
      <c r="AE9" s="182"/>
      <c r="AF9" s="182"/>
      <c r="AG9" s="182"/>
      <c r="AH9" s="182"/>
      <c r="AI9" s="182"/>
    </row>
    <row r="10" ht="12.75" customHeight="1">
      <c r="A10" s="281"/>
      <c r="B10" s="6"/>
      <c r="C10" s="6"/>
      <c r="D10" s="6"/>
      <c r="E10" s="6"/>
      <c r="F10" s="6"/>
      <c r="G10" s="6"/>
      <c r="H10" s="6"/>
      <c r="I10" s="6"/>
      <c r="J10" s="6"/>
      <c r="K10" s="7"/>
      <c r="L10" s="235"/>
      <c r="M10" s="235"/>
      <c r="N10" s="235"/>
      <c r="O10" s="235"/>
      <c r="P10" s="235"/>
      <c r="Q10" s="235"/>
      <c r="R10" s="235"/>
      <c r="S10" s="235"/>
      <c r="T10" s="235"/>
      <c r="U10" s="235"/>
      <c r="V10" s="235"/>
      <c r="W10" s="235"/>
      <c r="X10" s="235"/>
      <c r="Y10" s="235"/>
      <c r="Z10" s="235"/>
    </row>
    <row r="11" ht="12.75" customHeight="1">
      <c r="A11" s="282" t="s">
        <v>703</v>
      </c>
      <c r="B11" s="6"/>
      <c r="C11" s="6"/>
      <c r="D11" s="6"/>
      <c r="E11" s="6"/>
      <c r="F11" s="6"/>
      <c r="G11" s="6"/>
      <c r="H11" s="6"/>
      <c r="I11" s="6"/>
      <c r="J11" s="6"/>
      <c r="K11" s="7"/>
      <c r="L11" s="235"/>
      <c r="M11" s="235"/>
      <c r="N11" s="235"/>
      <c r="O11" s="235"/>
      <c r="P11" s="235"/>
      <c r="Q11" s="235"/>
      <c r="R11" s="235"/>
      <c r="S11" s="235"/>
      <c r="T11" s="235"/>
      <c r="U11" s="235"/>
      <c r="V11" s="235"/>
      <c r="W11" s="235"/>
      <c r="X11" s="235"/>
      <c r="Y11" s="235"/>
      <c r="Z11" s="235"/>
    </row>
    <row r="12">
      <c r="A12" s="230" t="s">
        <v>704</v>
      </c>
      <c r="B12" s="230" t="s">
        <v>705</v>
      </c>
      <c r="C12" s="230" t="s">
        <v>706</v>
      </c>
      <c r="D12" s="230" t="s">
        <v>707</v>
      </c>
      <c r="E12" s="283" t="s">
        <v>708</v>
      </c>
      <c r="F12" s="230" t="s">
        <v>709</v>
      </c>
      <c r="G12" s="230" t="s">
        <v>709</v>
      </c>
      <c r="H12" s="230" t="s">
        <v>710</v>
      </c>
      <c r="I12" s="230" t="s">
        <v>168</v>
      </c>
      <c r="J12" s="232">
        <v>44974.0</v>
      </c>
      <c r="K12" s="230"/>
      <c r="L12" s="235"/>
      <c r="M12" s="235"/>
      <c r="N12" s="235"/>
      <c r="O12" s="235"/>
      <c r="P12" s="235"/>
      <c r="Q12" s="235"/>
      <c r="R12" s="235"/>
      <c r="S12" s="235"/>
      <c r="T12" s="235"/>
      <c r="U12" s="235"/>
      <c r="V12" s="235"/>
      <c r="W12" s="235"/>
      <c r="X12" s="235"/>
      <c r="Y12" s="235"/>
      <c r="Z12" s="235"/>
    </row>
    <row r="13">
      <c r="A13" s="230" t="s">
        <v>711</v>
      </c>
      <c r="B13" s="231" t="s">
        <v>712</v>
      </c>
      <c r="C13" s="230" t="s">
        <v>713</v>
      </c>
      <c r="D13" s="230" t="s">
        <v>714</v>
      </c>
      <c r="E13" s="230" t="s">
        <v>715</v>
      </c>
      <c r="F13" s="230" t="s">
        <v>716</v>
      </c>
      <c r="G13" s="230" t="s">
        <v>716</v>
      </c>
      <c r="H13" s="230" t="s">
        <v>717</v>
      </c>
      <c r="I13" s="230" t="s">
        <v>168</v>
      </c>
      <c r="J13" s="232">
        <v>44974.0</v>
      </c>
      <c r="K13" s="230"/>
      <c r="L13" s="235"/>
      <c r="M13" s="235"/>
      <c r="N13" s="235"/>
      <c r="O13" s="235"/>
      <c r="P13" s="235"/>
      <c r="Q13" s="235"/>
      <c r="R13" s="235"/>
      <c r="S13" s="235"/>
      <c r="T13" s="235"/>
      <c r="U13" s="235"/>
      <c r="V13" s="235"/>
      <c r="W13" s="235"/>
      <c r="X13" s="235"/>
      <c r="Y13" s="235"/>
      <c r="Z13" s="235"/>
    </row>
    <row r="14">
      <c r="A14" s="230" t="s">
        <v>718</v>
      </c>
      <c r="B14" s="92"/>
      <c r="C14" s="230" t="s">
        <v>719</v>
      </c>
      <c r="D14" s="230" t="s">
        <v>720</v>
      </c>
      <c r="E14" s="230" t="s">
        <v>721</v>
      </c>
      <c r="F14" s="230" t="s">
        <v>716</v>
      </c>
      <c r="G14" s="230" t="s">
        <v>716</v>
      </c>
      <c r="H14" s="230" t="s">
        <v>722</v>
      </c>
      <c r="I14" s="230" t="s">
        <v>168</v>
      </c>
      <c r="J14" s="232">
        <v>44975.0</v>
      </c>
      <c r="K14" s="230"/>
      <c r="L14" s="235"/>
      <c r="M14" s="235"/>
      <c r="N14" s="235"/>
      <c r="O14" s="235"/>
      <c r="P14" s="235"/>
      <c r="Q14" s="235"/>
      <c r="R14" s="235"/>
      <c r="S14" s="235"/>
      <c r="T14" s="235"/>
      <c r="U14" s="235"/>
      <c r="V14" s="235"/>
      <c r="W14" s="235"/>
      <c r="X14" s="235"/>
      <c r="Y14" s="235"/>
      <c r="Z14" s="235"/>
    </row>
    <row r="15">
      <c r="A15" s="230" t="s">
        <v>723</v>
      </c>
      <c r="B15" s="92"/>
      <c r="C15" s="230" t="s">
        <v>724</v>
      </c>
      <c r="D15" s="230" t="s">
        <v>725</v>
      </c>
      <c r="E15" s="230" t="s">
        <v>726</v>
      </c>
      <c r="F15" s="230" t="s">
        <v>716</v>
      </c>
      <c r="G15" s="230" t="s">
        <v>716</v>
      </c>
      <c r="H15" s="230" t="s">
        <v>717</v>
      </c>
      <c r="I15" s="230" t="s">
        <v>168</v>
      </c>
      <c r="J15" s="232">
        <v>44976.0</v>
      </c>
      <c r="K15" s="230"/>
      <c r="L15" s="235"/>
      <c r="M15" s="235"/>
      <c r="N15" s="235"/>
      <c r="O15" s="235"/>
      <c r="P15" s="235"/>
      <c r="Q15" s="235"/>
      <c r="R15" s="235"/>
      <c r="S15" s="235"/>
      <c r="T15" s="235"/>
      <c r="U15" s="235"/>
      <c r="V15" s="235"/>
      <c r="W15" s="235"/>
      <c r="X15" s="235"/>
      <c r="Y15" s="235"/>
      <c r="Z15" s="235"/>
    </row>
    <row r="16">
      <c r="A16" s="230" t="s">
        <v>727</v>
      </c>
      <c r="B16" s="92"/>
      <c r="C16" s="230" t="s">
        <v>728</v>
      </c>
      <c r="D16" s="230" t="s">
        <v>729</v>
      </c>
      <c r="E16" s="230" t="s">
        <v>730</v>
      </c>
      <c r="F16" s="230" t="s">
        <v>731</v>
      </c>
      <c r="G16" s="230" t="s">
        <v>731</v>
      </c>
      <c r="H16" s="230" t="s">
        <v>717</v>
      </c>
      <c r="I16" s="230" t="s">
        <v>168</v>
      </c>
      <c r="J16" s="232">
        <v>44974.0</v>
      </c>
      <c r="K16" s="230"/>
      <c r="L16" s="235"/>
      <c r="M16" s="235"/>
      <c r="N16" s="235"/>
      <c r="O16" s="235"/>
      <c r="P16" s="235"/>
      <c r="Q16" s="235"/>
      <c r="R16" s="235"/>
      <c r="S16" s="235"/>
      <c r="T16" s="235"/>
      <c r="U16" s="235"/>
      <c r="V16" s="235"/>
      <c r="W16" s="235"/>
      <c r="X16" s="235"/>
      <c r="Y16" s="235"/>
      <c r="Z16" s="235"/>
    </row>
    <row r="17">
      <c r="A17" s="230" t="s">
        <v>732</v>
      </c>
      <c r="B17" s="92"/>
      <c r="C17" s="230" t="s">
        <v>733</v>
      </c>
      <c r="D17" s="230" t="s">
        <v>734</v>
      </c>
      <c r="E17" s="230" t="s">
        <v>735</v>
      </c>
      <c r="F17" s="230" t="s">
        <v>736</v>
      </c>
      <c r="G17" s="230" t="s">
        <v>736</v>
      </c>
      <c r="H17" s="230" t="s">
        <v>717</v>
      </c>
      <c r="I17" s="230" t="s">
        <v>168</v>
      </c>
      <c r="J17" s="232">
        <v>44977.0</v>
      </c>
      <c r="K17" s="230"/>
      <c r="L17" s="235"/>
      <c r="M17" s="235"/>
      <c r="N17" s="235"/>
      <c r="O17" s="235"/>
      <c r="P17" s="235"/>
      <c r="Q17" s="235"/>
      <c r="R17" s="235"/>
      <c r="S17" s="235"/>
      <c r="T17" s="235"/>
      <c r="U17" s="235"/>
      <c r="V17" s="235"/>
      <c r="W17" s="235"/>
      <c r="X17" s="235"/>
      <c r="Y17" s="235"/>
      <c r="Z17" s="235"/>
    </row>
    <row r="18">
      <c r="A18" s="230" t="s">
        <v>737</v>
      </c>
      <c r="B18" s="92"/>
      <c r="C18" s="230" t="s">
        <v>738</v>
      </c>
      <c r="D18" s="230" t="s">
        <v>739</v>
      </c>
      <c r="E18" s="230" t="s">
        <v>740</v>
      </c>
      <c r="F18" s="230" t="s">
        <v>741</v>
      </c>
      <c r="G18" s="230" t="s">
        <v>741</v>
      </c>
      <c r="H18" s="230" t="s">
        <v>717</v>
      </c>
      <c r="I18" s="230" t="s">
        <v>168</v>
      </c>
      <c r="J18" s="232">
        <v>44977.0</v>
      </c>
      <c r="K18" s="230"/>
      <c r="L18" s="235"/>
      <c r="M18" s="235"/>
      <c r="N18" s="235"/>
      <c r="O18" s="235"/>
      <c r="P18" s="235"/>
      <c r="Q18" s="235"/>
      <c r="R18" s="235"/>
      <c r="S18" s="235"/>
      <c r="T18" s="235"/>
      <c r="U18" s="235"/>
      <c r="V18" s="235"/>
      <c r="W18" s="235"/>
      <c r="X18" s="235"/>
      <c r="Y18" s="235"/>
      <c r="Z18" s="235"/>
    </row>
    <row r="19">
      <c r="A19" s="230" t="s">
        <v>742</v>
      </c>
      <c r="B19" s="21"/>
      <c r="C19" s="230" t="s">
        <v>743</v>
      </c>
      <c r="D19" s="230" t="s">
        <v>744</v>
      </c>
      <c r="E19" s="230" t="s">
        <v>745</v>
      </c>
      <c r="F19" s="230" t="s">
        <v>746</v>
      </c>
      <c r="G19" s="230" t="s">
        <v>746</v>
      </c>
      <c r="H19" s="230" t="s">
        <v>717</v>
      </c>
      <c r="I19" s="230" t="s">
        <v>168</v>
      </c>
      <c r="J19" s="232">
        <v>44978.0</v>
      </c>
      <c r="K19" s="230"/>
      <c r="L19" s="235"/>
      <c r="M19" s="235"/>
      <c r="N19" s="235"/>
      <c r="O19" s="235"/>
      <c r="P19" s="235"/>
      <c r="Q19" s="235"/>
      <c r="R19" s="235"/>
      <c r="S19" s="235"/>
      <c r="T19" s="235"/>
      <c r="U19" s="235"/>
      <c r="V19" s="235"/>
      <c r="W19" s="235"/>
      <c r="X19" s="235"/>
      <c r="Y19" s="235"/>
      <c r="Z19" s="235"/>
    </row>
    <row r="20">
      <c r="A20" s="230" t="s">
        <v>747</v>
      </c>
      <c r="B20" s="230"/>
      <c r="C20" s="230"/>
      <c r="D20" s="230"/>
      <c r="E20" s="230"/>
      <c r="F20" s="230"/>
      <c r="G20" s="230"/>
      <c r="H20" s="230"/>
      <c r="I20" s="230"/>
      <c r="J20" s="230"/>
      <c r="K20" s="230"/>
      <c r="L20" s="235"/>
      <c r="M20" s="235"/>
      <c r="N20" s="235"/>
      <c r="O20" s="235"/>
      <c r="P20" s="235"/>
      <c r="Q20" s="235"/>
      <c r="R20" s="235"/>
      <c r="S20" s="235"/>
      <c r="T20" s="235"/>
      <c r="U20" s="235"/>
      <c r="V20" s="235"/>
      <c r="W20" s="235"/>
      <c r="X20" s="235"/>
      <c r="Y20" s="235"/>
      <c r="Z20" s="235"/>
    </row>
    <row r="21">
      <c r="A21" s="230" t="s">
        <v>748</v>
      </c>
      <c r="B21" s="230" t="s">
        <v>749</v>
      </c>
      <c r="C21" s="230" t="s">
        <v>750</v>
      </c>
      <c r="D21" s="230" t="s">
        <v>751</v>
      </c>
      <c r="E21" s="230" t="s">
        <v>752</v>
      </c>
      <c r="F21" s="230" t="s">
        <v>753</v>
      </c>
      <c r="G21" s="230" t="s">
        <v>753</v>
      </c>
      <c r="H21" s="230" t="s">
        <v>754</v>
      </c>
      <c r="I21" s="230" t="s">
        <v>168</v>
      </c>
      <c r="J21" s="232">
        <v>44974.0</v>
      </c>
      <c r="K21" s="230"/>
      <c r="L21" s="235"/>
      <c r="M21" s="235"/>
      <c r="N21" s="235"/>
      <c r="O21" s="235"/>
      <c r="P21" s="235"/>
      <c r="Q21" s="235"/>
      <c r="R21" s="235"/>
      <c r="S21" s="235"/>
      <c r="T21" s="235"/>
      <c r="U21" s="235"/>
      <c r="V21" s="235"/>
      <c r="W21" s="235"/>
      <c r="X21" s="235"/>
      <c r="Y21" s="235"/>
      <c r="Z21" s="235"/>
    </row>
    <row r="22">
      <c r="A22" s="230" t="s">
        <v>755</v>
      </c>
      <c r="B22" s="284" t="s">
        <v>756</v>
      </c>
      <c r="C22" s="230" t="s">
        <v>757</v>
      </c>
      <c r="D22" s="230" t="s">
        <v>758</v>
      </c>
      <c r="E22" s="230" t="s">
        <v>759</v>
      </c>
      <c r="F22" s="230" t="s">
        <v>760</v>
      </c>
      <c r="G22" s="230" t="s">
        <v>760</v>
      </c>
      <c r="H22" s="230" t="s">
        <v>761</v>
      </c>
      <c r="I22" s="230" t="s">
        <v>168</v>
      </c>
      <c r="J22" s="232">
        <v>44974.0</v>
      </c>
      <c r="K22" s="230"/>
      <c r="L22" s="235"/>
      <c r="M22" s="235"/>
      <c r="N22" s="235"/>
      <c r="O22" s="235"/>
      <c r="P22" s="235"/>
      <c r="Q22" s="235"/>
      <c r="R22" s="235"/>
      <c r="S22" s="235"/>
      <c r="T22" s="235"/>
      <c r="U22" s="235"/>
      <c r="V22" s="235"/>
      <c r="W22" s="235"/>
      <c r="X22" s="235"/>
      <c r="Y22" s="235"/>
      <c r="Z22" s="235"/>
      <c r="AA22" s="56"/>
      <c r="AB22" s="56"/>
      <c r="AC22" s="56"/>
      <c r="AD22" s="56"/>
      <c r="AE22" s="56"/>
      <c r="AF22" s="56"/>
      <c r="AG22" s="56"/>
      <c r="AH22" s="56"/>
      <c r="AI22" s="56"/>
    </row>
    <row r="23">
      <c r="A23" s="285" t="s">
        <v>762</v>
      </c>
      <c r="B23" s="92"/>
      <c r="C23" s="285" t="s">
        <v>763</v>
      </c>
      <c r="D23" s="285" t="s">
        <v>764</v>
      </c>
      <c r="E23" s="285" t="s">
        <v>765</v>
      </c>
      <c r="F23" s="285" t="s">
        <v>766</v>
      </c>
      <c r="G23" s="285" t="s">
        <v>766</v>
      </c>
      <c r="H23" s="285" t="s">
        <v>761</v>
      </c>
      <c r="I23" s="285" t="s">
        <v>168</v>
      </c>
      <c r="J23" s="286">
        <v>44974.0</v>
      </c>
      <c r="K23" s="287"/>
      <c r="L23" s="235"/>
      <c r="M23" s="235"/>
      <c r="N23" s="235"/>
      <c r="O23" s="235"/>
      <c r="P23" s="235"/>
      <c r="Q23" s="235"/>
      <c r="R23" s="235"/>
      <c r="S23" s="235"/>
      <c r="T23" s="235"/>
      <c r="U23" s="235"/>
      <c r="V23" s="235"/>
      <c r="W23" s="235"/>
      <c r="X23" s="235"/>
      <c r="Y23" s="235"/>
      <c r="Z23" s="235"/>
      <c r="AA23" s="56"/>
      <c r="AB23" s="56"/>
      <c r="AC23" s="56"/>
      <c r="AD23" s="56"/>
      <c r="AE23" s="56"/>
      <c r="AF23" s="56"/>
      <c r="AG23" s="56"/>
      <c r="AH23" s="56"/>
      <c r="AI23" s="56"/>
    </row>
    <row r="24">
      <c r="A24" s="285" t="s">
        <v>767</v>
      </c>
      <c r="B24" s="92"/>
      <c r="C24" s="285" t="s">
        <v>768</v>
      </c>
      <c r="D24" s="285" t="s">
        <v>769</v>
      </c>
      <c r="E24" s="285" t="s">
        <v>770</v>
      </c>
      <c r="F24" s="285" t="s">
        <v>771</v>
      </c>
      <c r="G24" s="285" t="s">
        <v>771</v>
      </c>
      <c r="H24" s="285" t="s">
        <v>761</v>
      </c>
      <c r="I24" s="285" t="s">
        <v>168</v>
      </c>
      <c r="J24" s="286">
        <v>44974.0</v>
      </c>
      <c r="K24" s="287"/>
      <c r="L24" s="235"/>
      <c r="M24" s="235"/>
      <c r="N24" s="235"/>
      <c r="O24" s="235"/>
      <c r="P24" s="235"/>
      <c r="Q24" s="235"/>
      <c r="R24" s="235"/>
      <c r="S24" s="235"/>
      <c r="T24" s="235"/>
      <c r="U24" s="235"/>
      <c r="V24" s="235"/>
      <c r="W24" s="235"/>
      <c r="X24" s="235"/>
      <c r="Y24" s="235"/>
      <c r="Z24" s="235"/>
      <c r="AA24" s="56"/>
      <c r="AB24" s="56"/>
      <c r="AC24" s="56"/>
      <c r="AD24" s="56"/>
      <c r="AE24" s="56"/>
      <c r="AF24" s="56"/>
      <c r="AG24" s="56"/>
      <c r="AH24" s="56"/>
      <c r="AI24" s="56"/>
    </row>
    <row r="25">
      <c r="A25" s="285" t="s">
        <v>772</v>
      </c>
      <c r="B25" s="92"/>
      <c r="C25" s="285" t="s">
        <v>773</v>
      </c>
      <c r="D25" s="285" t="s">
        <v>774</v>
      </c>
      <c r="E25" s="285" t="s">
        <v>775</v>
      </c>
      <c r="F25" s="285" t="s">
        <v>776</v>
      </c>
      <c r="G25" s="285" t="s">
        <v>777</v>
      </c>
      <c r="H25" s="285" t="s">
        <v>778</v>
      </c>
      <c r="I25" s="285" t="s">
        <v>168</v>
      </c>
      <c r="J25" s="286">
        <v>44975.0</v>
      </c>
      <c r="K25" s="287"/>
      <c r="L25" s="235"/>
      <c r="M25" s="235"/>
      <c r="N25" s="235"/>
      <c r="O25" s="235"/>
      <c r="P25" s="235"/>
      <c r="Q25" s="235"/>
      <c r="R25" s="235"/>
      <c r="S25" s="235"/>
      <c r="T25" s="235"/>
      <c r="U25" s="235"/>
      <c r="V25" s="235"/>
      <c r="W25" s="235"/>
      <c r="X25" s="235"/>
      <c r="Y25" s="235"/>
      <c r="Z25" s="235"/>
      <c r="AA25" s="56"/>
      <c r="AB25" s="56"/>
      <c r="AC25" s="56"/>
      <c r="AD25" s="56"/>
      <c r="AE25" s="56"/>
      <c r="AF25" s="56"/>
      <c r="AG25" s="56"/>
      <c r="AH25" s="56"/>
      <c r="AI25" s="56"/>
    </row>
    <row r="26">
      <c r="A26" s="285" t="s">
        <v>779</v>
      </c>
      <c r="B26" s="92"/>
      <c r="C26" s="285" t="s">
        <v>780</v>
      </c>
      <c r="D26" s="285" t="s">
        <v>781</v>
      </c>
      <c r="E26" s="285" t="s">
        <v>782</v>
      </c>
      <c r="F26" s="285" t="s">
        <v>783</v>
      </c>
      <c r="G26" s="285" t="s">
        <v>783</v>
      </c>
      <c r="H26" s="285" t="s">
        <v>784</v>
      </c>
      <c r="I26" s="285" t="s">
        <v>168</v>
      </c>
      <c r="J26" s="286">
        <v>44974.0</v>
      </c>
      <c r="K26" s="287"/>
      <c r="L26" s="235"/>
      <c r="M26" s="235"/>
      <c r="N26" s="235"/>
      <c r="O26" s="235"/>
      <c r="P26" s="235"/>
      <c r="Q26" s="235"/>
      <c r="R26" s="235"/>
      <c r="S26" s="235"/>
      <c r="T26" s="235"/>
      <c r="U26" s="235"/>
      <c r="V26" s="235"/>
      <c r="W26" s="235"/>
      <c r="X26" s="235"/>
      <c r="Y26" s="235"/>
      <c r="Z26" s="235"/>
      <c r="AA26" s="56"/>
      <c r="AB26" s="56"/>
      <c r="AC26" s="56"/>
      <c r="AD26" s="56"/>
      <c r="AE26" s="56"/>
      <c r="AF26" s="56"/>
      <c r="AG26" s="56"/>
      <c r="AH26" s="56"/>
      <c r="AI26" s="56"/>
    </row>
    <row r="27">
      <c r="A27" s="285" t="s">
        <v>785</v>
      </c>
      <c r="B27" s="92"/>
      <c r="C27" s="285" t="s">
        <v>786</v>
      </c>
      <c r="D27" s="285" t="s">
        <v>787</v>
      </c>
      <c r="E27" s="285" t="s">
        <v>788</v>
      </c>
      <c r="F27" s="285" t="s">
        <v>789</v>
      </c>
      <c r="G27" s="285" t="s">
        <v>777</v>
      </c>
      <c r="H27" s="285" t="s">
        <v>717</v>
      </c>
      <c r="I27" s="285" t="s">
        <v>168</v>
      </c>
      <c r="J27" s="286">
        <v>44976.0</v>
      </c>
      <c r="K27" s="287"/>
      <c r="L27" s="235"/>
      <c r="M27" s="235"/>
      <c r="N27" s="235"/>
      <c r="O27" s="235"/>
      <c r="P27" s="235"/>
      <c r="Q27" s="235"/>
      <c r="R27" s="235"/>
      <c r="S27" s="235"/>
      <c r="T27" s="235"/>
      <c r="U27" s="235"/>
      <c r="V27" s="235"/>
      <c r="W27" s="235"/>
      <c r="X27" s="235"/>
      <c r="Y27" s="235"/>
      <c r="Z27" s="235"/>
      <c r="AA27" s="56"/>
      <c r="AB27" s="56"/>
      <c r="AC27" s="56"/>
      <c r="AD27" s="56"/>
      <c r="AE27" s="56"/>
      <c r="AF27" s="56"/>
      <c r="AG27" s="56"/>
      <c r="AH27" s="56"/>
      <c r="AI27" s="56"/>
    </row>
    <row r="28">
      <c r="A28" s="285" t="s">
        <v>790</v>
      </c>
      <c r="B28" s="21"/>
      <c r="C28" s="285" t="s">
        <v>791</v>
      </c>
      <c r="D28" s="285" t="s">
        <v>792</v>
      </c>
      <c r="E28" s="285" t="s">
        <v>793</v>
      </c>
      <c r="F28" s="285" t="s">
        <v>794</v>
      </c>
      <c r="G28" s="285" t="s">
        <v>794</v>
      </c>
      <c r="H28" s="285" t="s">
        <v>795</v>
      </c>
      <c r="I28" s="285" t="s">
        <v>168</v>
      </c>
      <c r="J28" s="286">
        <v>44977.0</v>
      </c>
      <c r="K28" s="287"/>
      <c r="L28" s="235"/>
      <c r="M28" s="235"/>
      <c r="N28" s="235"/>
      <c r="O28" s="235"/>
      <c r="P28" s="235"/>
      <c r="Q28" s="235"/>
      <c r="R28" s="235"/>
      <c r="S28" s="235"/>
      <c r="T28" s="235"/>
      <c r="U28" s="235"/>
      <c r="V28" s="235"/>
      <c r="W28" s="235"/>
      <c r="X28" s="235"/>
      <c r="Y28" s="235"/>
      <c r="Z28" s="235"/>
      <c r="AA28" s="56"/>
      <c r="AB28" s="56"/>
      <c r="AC28" s="56"/>
      <c r="AD28" s="56"/>
      <c r="AE28" s="56"/>
      <c r="AF28" s="56"/>
      <c r="AG28" s="56"/>
      <c r="AH28" s="56"/>
      <c r="AI28" s="56"/>
    </row>
    <row r="29">
      <c r="A29" s="230" t="s">
        <v>767</v>
      </c>
      <c r="B29" s="288"/>
      <c r="C29" s="230" t="s">
        <v>796</v>
      </c>
      <c r="D29" s="230" t="s">
        <v>797</v>
      </c>
      <c r="E29" s="230" t="s">
        <v>798</v>
      </c>
      <c r="F29" s="230" t="s">
        <v>799</v>
      </c>
      <c r="G29" s="230" t="s">
        <v>799</v>
      </c>
      <c r="H29" s="230" t="s">
        <v>761</v>
      </c>
      <c r="I29" s="230" t="s">
        <v>168</v>
      </c>
      <c r="J29" s="232">
        <v>44974.0</v>
      </c>
      <c r="K29" s="230"/>
      <c r="L29" s="235"/>
      <c r="M29" s="235"/>
      <c r="N29" s="235"/>
      <c r="O29" s="235"/>
      <c r="P29" s="235"/>
      <c r="Q29" s="235"/>
      <c r="R29" s="235"/>
      <c r="S29" s="235"/>
      <c r="T29" s="235"/>
      <c r="U29" s="235"/>
      <c r="V29" s="235"/>
      <c r="W29" s="235"/>
      <c r="X29" s="235"/>
      <c r="Y29" s="235"/>
      <c r="Z29" s="235"/>
      <c r="AA29" s="56"/>
      <c r="AB29" s="56"/>
      <c r="AC29" s="56"/>
      <c r="AD29" s="56"/>
      <c r="AE29" s="56"/>
      <c r="AF29" s="56"/>
      <c r="AG29" s="56"/>
      <c r="AH29" s="56"/>
      <c r="AI29" s="56"/>
    </row>
    <row r="30">
      <c r="A30" s="230" t="s">
        <v>772</v>
      </c>
      <c r="B30" s="288"/>
      <c r="C30" s="230" t="s">
        <v>800</v>
      </c>
      <c r="D30" s="230" t="s">
        <v>801</v>
      </c>
      <c r="E30" s="230" t="s">
        <v>802</v>
      </c>
      <c r="F30" s="230" t="s">
        <v>803</v>
      </c>
      <c r="G30" s="230" t="s">
        <v>803</v>
      </c>
      <c r="H30" s="230" t="s">
        <v>804</v>
      </c>
      <c r="I30" s="230" t="s">
        <v>168</v>
      </c>
      <c r="J30" s="232">
        <v>44975.0</v>
      </c>
      <c r="K30" s="230"/>
      <c r="L30" s="235"/>
      <c r="M30" s="235"/>
      <c r="N30" s="235"/>
      <c r="O30" s="235"/>
      <c r="P30" s="235"/>
      <c r="Q30" s="235"/>
      <c r="R30" s="235"/>
      <c r="S30" s="235"/>
      <c r="T30" s="235"/>
      <c r="U30" s="235"/>
      <c r="V30" s="235"/>
      <c r="W30" s="235"/>
      <c r="X30" s="235"/>
      <c r="Y30" s="235"/>
      <c r="Z30" s="235"/>
    </row>
    <row r="31">
      <c r="A31" s="230" t="s">
        <v>779</v>
      </c>
      <c r="B31" s="288"/>
      <c r="C31" s="230" t="s">
        <v>805</v>
      </c>
      <c r="D31" s="230" t="s">
        <v>806</v>
      </c>
      <c r="E31" s="230" t="s">
        <v>807</v>
      </c>
      <c r="F31" s="230" t="s">
        <v>808</v>
      </c>
      <c r="G31" s="230" t="s">
        <v>808</v>
      </c>
      <c r="H31" s="230" t="s">
        <v>809</v>
      </c>
      <c r="I31" s="230" t="s">
        <v>168</v>
      </c>
      <c r="J31" s="232">
        <v>44974.0</v>
      </c>
      <c r="K31" s="230"/>
      <c r="L31" s="235"/>
      <c r="M31" s="235"/>
      <c r="N31" s="235"/>
      <c r="O31" s="235"/>
      <c r="P31" s="235"/>
      <c r="Q31" s="235"/>
      <c r="R31" s="235"/>
      <c r="S31" s="235"/>
      <c r="T31" s="235"/>
      <c r="U31" s="235"/>
      <c r="V31" s="235"/>
      <c r="W31" s="235"/>
      <c r="X31" s="235"/>
      <c r="Y31" s="235"/>
      <c r="Z31" s="235"/>
    </row>
    <row r="32">
      <c r="A32" s="230" t="s">
        <v>785</v>
      </c>
      <c r="B32" s="288"/>
      <c r="C32" s="230" t="s">
        <v>810</v>
      </c>
      <c r="D32" s="230" t="s">
        <v>811</v>
      </c>
      <c r="E32" s="230" t="s">
        <v>812</v>
      </c>
      <c r="F32" s="230" t="s">
        <v>813</v>
      </c>
      <c r="G32" s="230" t="s">
        <v>813</v>
      </c>
      <c r="H32" s="230" t="s">
        <v>717</v>
      </c>
      <c r="I32" s="230" t="s">
        <v>168</v>
      </c>
      <c r="J32" s="232">
        <v>44976.0</v>
      </c>
      <c r="K32" s="230"/>
      <c r="L32" s="235"/>
      <c r="M32" s="235"/>
      <c r="N32" s="235"/>
      <c r="O32" s="235"/>
      <c r="P32" s="235"/>
      <c r="Q32" s="235"/>
      <c r="R32" s="235"/>
      <c r="S32" s="235"/>
      <c r="T32" s="235"/>
      <c r="U32" s="235"/>
      <c r="V32" s="235"/>
      <c r="W32" s="235"/>
      <c r="X32" s="235"/>
      <c r="Y32" s="235"/>
      <c r="Z32" s="235"/>
    </row>
    <row r="33">
      <c r="A33" s="230" t="s">
        <v>814</v>
      </c>
      <c r="B33" s="230"/>
      <c r="C33" s="230"/>
      <c r="D33" s="230"/>
      <c r="E33" s="230"/>
      <c r="F33" s="230"/>
      <c r="G33" s="230"/>
      <c r="H33" s="230"/>
      <c r="I33" s="230"/>
      <c r="J33" s="230"/>
      <c r="K33" s="230"/>
      <c r="L33" s="235"/>
      <c r="M33" s="235"/>
      <c r="N33" s="235"/>
      <c r="O33" s="235"/>
      <c r="P33" s="235"/>
      <c r="Q33" s="235"/>
      <c r="R33" s="235"/>
      <c r="S33" s="235"/>
      <c r="T33" s="235"/>
      <c r="U33" s="235"/>
      <c r="V33" s="235"/>
      <c r="W33" s="235"/>
      <c r="X33" s="235"/>
      <c r="Y33" s="235"/>
      <c r="Z33" s="235"/>
    </row>
    <row r="34">
      <c r="A34" s="230" t="s">
        <v>815</v>
      </c>
      <c r="B34" s="230" t="s">
        <v>816</v>
      </c>
      <c r="C34" s="230" t="s">
        <v>817</v>
      </c>
      <c r="D34" s="230" t="s">
        <v>818</v>
      </c>
      <c r="E34" s="230" t="s">
        <v>819</v>
      </c>
      <c r="F34" s="230" t="s">
        <v>820</v>
      </c>
      <c r="G34" s="230" t="s">
        <v>820</v>
      </c>
      <c r="H34" s="230" t="s">
        <v>821</v>
      </c>
      <c r="I34" s="230" t="s">
        <v>168</v>
      </c>
      <c r="J34" s="232">
        <v>44978.0</v>
      </c>
      <c r="K34" s="230"/>
      <c r="L34" s="235"/>
      <c r="M34" s="235"/>
      <c r="N34" s="235"/>
      <c r="O34" s="235"/>
      <c r="P34" s="235"/>
      <c r="Q34" s="235"/>
      <c r="R34" s="235"/>
      <c r="S34" s="235"/>
      <c r="T34" s="235"/>
      <c r="U34" s="235"/>
      <c r="V34" s="235"/>
      <c r="W34" s="235"/>
      <c r="X34" s="235"/>
      <c r="Y34" s="235"/>
      <c r="Z34" s="235"/>
    </row>
    <row r="35">
      <c r="A35" s="230" t="s">
        <v>822</v>
      </c>
      <c r="B35" s="231" t="s">
        <v>823</v>
      </c>
      <c r="C35" s="230" t="s">
        <v>824</v>
      </c>
      <c r="D35" s="230" t="s">
        <v>825</v>
      </c>
      <c r="E35" s="230" t="s">
        <v>826</v>
      </c>
      <c r="F35" s="230" t="s">
        <v>827</v>
      </c>
      <c r="G35" s="230" t="s">
        <v>827</v>
      </c>
      <c r="H35" s="230" t="s">
        <v>828</v>
      </c>
      <c r="I35" s="230" t="s">
        <v>168</v>
      </c>
      <c r="J35" s="232">
        <v>44978.0</v>
      </c>
      <c r="K35" s="230"/>
      <c r="L35" s="235"/>
      <c r="M35" s="235"/>
      <c r="N35" s="235"/>
      <c r="O35" s="235"/>
      <c r="P35" s="235"/>
      <c r="Q35" s="235"/>
      <c r="R35" s="235"/>
      <c r="S35" s="235"/>
      <c r="T35" s="235"/>
      <c r="U35" s="235"/>
      <c r="V35" s="235"/>
      <c r="W35" s="235"/>
      <c r="X35" s="235"/>
      <c r="Y35" s="235"/>
      <c r="Z35" s="235"/>
    </row>
    <row r="36">
      <c r="A36" s="230" t="s">
        <v>829</v>
      </c>
      <c r="B36" s="21"/>
      <c r="C36" s="230" t="s">
        <v>830</v>
      </c>
      <c r="D36" s="230" t="s">
        <v>831</v>
      </c>
      <c r="E36" s="230" t="s">
        <v>832</v>
      </c>
      <c r="F36" s="230" t="s">
        <v>833</v>
      </c>
      <c r="G36" s="230" t="s">
        <v>833</v>
      </c>
      <c r="H36" s="230" t="s">
        <v>834</v>
      </c>
      <c r="I36" s="230" t="s">
        <v>168</v>
      </c>
      <c r="J36" s="232">
        <v>44979.0</v>
      </c>
      <c r="K36" s="230"/>
      <c r="L36" s="235"/>
      <c r="M36" s="235"/>
      <c r="N36" s="235"/>
      <c r="O36" s="235"/>
      <c r="P36" s="235"/>
      <c r="Q36" s="235"/>
      <c r="R36" s="235"/>
      <c r="S36" s="235"/>
      <c r="T36" s="235"/>
      <c r="U36" s="235"/>
      <c r="V36" s="235"/>
      <c r="W36" s="235"/>
      <c r="X36" s="235"/>
      <c r="Y36" s="235"/>
      <c r="Z36" s="235"/>
    </row>
    <row r="37">
      <c r="A37" s="230" t="s">
        <v>835</v>
      </c>
      <c r="B37" s="230"/>
      <c r="C37" s="230"/>
      <c r="D37" s="230"/>
      <c r="E37" s="230"/>
      <c r="F37" s="230"/>
      <c r="G37" s="230"/>
      <c r="H37" s="230"/>
      <c r="I37" s="230"/>
      <c r="J37" s="230"/>
      <c r="K37" s="230"/>
      <c r="L37" s="235"/>
      <c r="M37" s="235"/>
      <c r="N37" s="235"/>
      <c r="O37" s="235"/>
      <c r="P37" s="235"/>
      <c r="Q37" s="235"/>
      <c r="R37" s="235"/>
      <c r="S37" s="235"/>
      <c r="T37" s="235"/>
      <c r="U37" s="235"/>
      <c r="V37" s="235"/>
      <c r="W37" s="235"/>
      <c r="X37" s="235"/>
      <c r="Y37" s="235"/>
      <c r="Z37" s="235"/>
    </row>
    <row r="38">
      <c r="A38" s="230" t="s">
        <v>836</v>
      </c>
      <c r="B38" s="230" t="s">
        <v>837</v>
      </c>
      <c r="C38" s="230" t="s">
        <v>838</v>
      </c>
      <c r="D38" s="230" t="s">
        <v>839</v>
      </c>
      <c r="E38" s="230" t="s">
        <v>840</v>
      </c>
      <c r="F38" s="230" t="s">
        <v>841</v>
      </c>
      <c r="G38" s="230" t="s">
        <v>841</v>
      </c>
      <c r="H38" s="230" t="s">
        <v>761</v>
      </c>
      <c r="I38" s="230" t="s">
        <v>168</v>
      </c>
      <c r="J38" s="232">
        <v>44985.0</v>
      </c>
      <c r="K38" s="230"/>
      <c r="L38" s="235"/>
      <c r="M38" s="235"/>
      <c r="N38" s="235"/>
      <c r="O38" s="235"/>
      <c r="P38" s="235"/>
      <c r="Q38" s="235"/>
      <c r="R38" s="235"/>
      <c r="S38" s="235"/>
      <c r="T38" s="235"/>
      <c r="U38" s="235"/>
      <c r="V38" s="235"/>
      <c r="W38" s="235"/>
      <c r="X38" s="235"/>
      <c r="Y38" s="235"/>
      <c r="Z38" s="235"/>
    </row>
    <row r="39">
      <c r="A39" s="230" t="s">
        <v>842</v>
      </c>
      <c r="B39" s="230"/>
      <c r="C39" s="230" t="s">
        <v>843</v>
      </c>
      <c r="D39" s="230" t="s">
        <v>844</v>
      </c>
      <c r="E39" s="230" t="s">
        <v>845</v>
      </c>
      <c r="F39" s="230" t="s">
        <v>846</v>
      </c>
      <c r="G39" s="230" t="s">
        <v>846</v>
      </c>
      <c r="H39" s="230" t="s">
        <v>761</v>
      </c>
      <c r="I39" s="230" t="s">
        <v>168</v>
      </c>
      <c r="J39" s="232">
        <v>44986.0</v>
      </c>
      <c r="K39" s="230"/>
      <c r="L39" s="235"/>
      <c r="M39" s="235"/>
      <c r="N39" s="235"/>
      <c r="O39" s="235"/>
      <c r="P39" s="235"/>
      <c r="Q39" s="235"/>
      <c r="R39" s="235"/>
      <c r="S39" s="235"/>
      <c r="T39" s="235"/>
      <c r="U39" s="235"/>
      <c r="V39" s="235"/>
      <c r="W39" s="235"/>
      <c r="X39" s="235"/>
      <c r="Y39" s="235"/>
      <c r="Z39" s="235"/>
    </row>
    <row r="40" ht="15.0" customHeight="1">
      <c r="A40" s="289"/>
      <c r="B40" s="289"/>
      <c r="C40" s="289"/>
      <c r="D40" s="289"/>
      <c r="E40" s="289"/>
      <c r="F40" s="289"/>
      <c r="G40" s="289"/>
      <c r="H40" s="289"/>
      <c r="I40" s="289"/>
      <c r="J40" s="289"/>
      <c r="K40" s="290"/>
      <c r="L40" s="291"/>
      <c r="M40" s="291"/>
      <c r="N40" s="291"/>
      <c r="O40" s="291"/>
      <c r="P40" s="291"/>
      <c r="Q40" s="291"/>
      <c r="R40" s="291"/>
      <c r="S40" s="291"/>
      <c r="T40" s="291"/>
      <c r="U40" s="291"/>
      <c r="V40" s="291"/>
      <c r="W40" s="291"/>
      <c r="X40" s="291"/>
      <c r="Y40" s="291"/>
      <c r="Z40" s="291"/>
      <c r="AA40" s="291"/>
      <c r="AB40" s="291"/>
      <c r="AC40" s="291"/>
      <c r="AD40" s="291"/>
      <c r="AE40" s="291"/>
      <c r="AF40" s="291"/>
      <c r="AG40" s="291"/>
      <c r="AH40" s="291"/>
      <c r="AI40" s="291"/>
    </row>
    <row r="41">
      <c r="A41" s="224" t="s">
        <v>847</v>
      </c>
      <c r="B41" s="224"/>
      <c r="C41" s="224"/>
      <c r="D41" s="224"/>
      <c r="E41" s="224"/>
      <c r="F41" s="224"/>
      <c r="G41" s="224"/>
      <c r="H41" s="224"/>
      <c r="I41" s="224"/>
      <c r="J41" s="224"/>
      <c r="K41" s="224"/>
      <c r="L41" s="235"/>
      <c r="M41" s="235"/>
      <c r="N41" s="235"/>
      <c r="O41" s="235"/>
      <c r="P41" s="235"/>
      <c r="Q41" s="235"/>
      <c r="R41" s="235"/>
      <c r="S41" s="235"/>
      <c r="T41" s="235"/>
      <c r="U41" s="235"/>
      <c r="V41" s="235"/>
      <c r="W41" s="235"/>
      <c r="X41" s="235"/>
      <c r="Y41" s="235"/>
      <c r="Z41" s="235"/>
    </row>
    <row r="42">
      <c r="A42" s="224" t="s">
        <v>848</v>
      </c>
      <c r="B42" s="225" t="s">
        <v>849</v>
      </c>
      <c r="C42" s="224" t="s">
        <v>850</v>
      </c>
      <c r="D42" s="224" t="s">
        <v>851</v>
      </c>
      <c r="E42" s="224" t="s">
        <v>852</v>
      </c>
      <c r="F42" s="224" t="s">
        <v>853</v>
      </c>
      <c r="G42" s="224" t="s">
        <v>853</v>
      </c>
      <c r="H42" s="224" t="s">
        <v>854</v>
      </c>
      <c r="I42" s="224" t="s">
        <v>168</v>
      </c>
      <c r="J42" s="226">
        <v>46082.0</v>
      </c>
      <c r="K42" s="224"/>
      <c r="L42" s="235"/>
      <c r="M42" s="235"/>
      <c r="N42" s="235"/>
      <c r="O42" s="235"/>
      <c r="P42" s="235"/>
      <c r="Q42" s="235"/>
      <c r="R42" s="235"/>
      <c r="S42" s="235"/>
      <c r="T42" s="235"/>
      <c r="U42" s="235"/>
      <c r="V42" s="235"/>
      <c r="W42" s="235"/>
      <c r="X42" s="235"/>
      <c r="Y42" s="235"/>
      <c r="Z42" s="235"/>
    </row>
    <row r="43">
      <c r="A43" s="224" t="s">
        <v>855</v>
      </c>
      <c r="B43" s="21"/>
      <c r="C43" s="224" t="s">
        <v>856</v>
      </c>
      <c r="D43" s="224" t="s">
        <v>857</v>
      </c>
      <c r="E43" s="224" t="s">
        <v>858</v>
      </c>
      <c r="F43" s="224" t="s">
        <v>859</v>
      </c>
      <c r="G43" s="224" t="s">
        <v>859</v>
      </c>
      <c r="H43" s="224" t="s">
        <v>860</v>
      </c>
      <c r="I43" s="224" t="s">
        <v>168</v>
      </c>
      <c r="J43" s="226">
        <v>46082.0</v>
      </c>
      <c r="K43" s="224"/>
    </row>
    <row r="44">
      <c r="A44" s="224" t="s">
        <v>861</v>
      </c>
      <c r="B44" s="225" t="s">
        <v>862</v>
      </c>
      <c r="C44" s="224" t="s">
        <v>863</v>
      </c>
      <c r="D44" s="225" t="s">
        <v>864</v>
      </c>
      <c r="E44" s="224" t="s">
        <v>865</v>
      </c>
      <c r="F44" s="224" t="s">
        <v>866</v>
      </c>
      <c r="G44" s="224" t="s">
        <v>866</v>
      </c>
      <c r="H44" s="224" t="s">
        <v>867</v>
      </c>
      <c r="I44" s="224" t="s">
        <v>168</v>
      </c>
      <c r="J44" s="226">
        <v>46082.0</v>
      </c>
      <c r="K44" s="224"/>
      <c r="L44" s="235"/>
      <c r="M44" s="235"/>
      <c r="N44" s="235"/>
      <c r="O44" s="235"/>
      <c r="P44" s="235"/>
      <c r="Q44" s="235"/>
      <c r="R44" s="235"/>
      <c r="S44" s="235"/>
      <c r="T44" s="235"/>
      <c r="U44" s="235"/>
      <c r="V44" s="235"/>
      <c r="W44" s="235"/>
      <c r="X44" s="235"/>
      <c r="Y44" s="235"/>
      <c r="Z44" s="235"/>
    </row>
    <row r="45">
      <c r="A45" s="224" t="s">
        <v>868</v>
      </c>
      <c r="B45" s="92"/>
      <c r="C45" s="292" t="s">
        <v>869</v>
      </c>
      <c r="D45" s="224" t="s">
        <v>870</v>
      </c>
      <c r="E45" s="293" t="s">
        <v>871</v>
      </c>
      <c r="F45" s="224" t="s">
        <v>872</v>
      </c>
      <c r="G45" s="224" t="s">
        <v>872</v>
      </c>
      <c r="H45" s="224" t="s">
        <v>860</v>
      </c>
      <c r="I45" s="224" t="s">
        <v>168</v>
      </c>
      <c r="J45" s="226">
        <v>46083.0</v>
      </c>
      <c r="K45" s="224"/>
      <c r="L45" s="235"/>
      <c r="M45" s="235"/>
      <c r="N45" s="235"/>
      <c r="O45" s="235"/>
      <c r="P45" s="235"/>
      <c r="Q45" s="235"/>
      <c r="R45" s="235"/>
      <c r="S45" s="235"/>
      <c r="T45" s="235"/>
      <c r="U45" s="235"/>
      <c r="V45" s="235"/>
      <c r="W45" s="235"/>
      <c r="X45" s="235"/>
      <c r="Y45" s="235"/>
      <c r="Z45" s="235"/>
    </row>
    <row r="46">
      <c r="A46" s="224" t="s">
        <v>873</v>
      </c>
      <c r="B46" s="92"/>
      <c r="C46" s="224" t="s">
        <v>874</v>
      </c>
      <c r="D46" s="294" t="s">
        <v>875</v>
      </c>
      <c r="E46" s="224" t="s">
        <v>876</v>
      </c>
      <c r="F46" s="224" t="s">
        <v>877</v>
      </c>
      <c r="G46" s="224" t="s">
        <v>877</v>
      </c>
      <c r="H46" s="224" t="s">
        <v>860</v>
      </c>
      <c r="I46" s="224" t="s">
        <v>168</v>
      </c>
      <c r="J46" s="226">
        <v>46083.0</v>
      </c>
      <c r="K46" s="224"/>
      <c r="L46" s="235"/>
      <c r="M46" s="235"/>
      <c r="N46" s="235"/>
      <c r="O46" s="235"/>
      <c r="P46" s="235"/>
      <c r="Q46" s="235"/>
      <c r="R46" s="235"/>
      <c r="S46" s="235"/>
      <c r="T46" s="235"/>
      <c r="U46" s="235"/>
      <c r="V46" s="235"/>
      <c r="W46" s="235"/>
      <c r="X46" s="235"/>
      <c r="Y46" s="235"/>
      <c r="Z46" s="235"/>
    </row>
    <row r="47">
      <c r="A47" s="225" t="s">
        <v>878</v>
      </c>
      <c r="B47" s="92"/>
      <c r="C47" s="225" t="s">
        <v>879</v>
      </c>
      <c r="D47" s="224" t="s">
        <v>880</v>
      </c>
      <c r="E47" s="224" t="s">
        <v>881</v>
      </c>
      <c r="F47" s="225" t="s">
        <v>882</v>
      </c>
      <c r="G47" s="225" t="s">
        <v>882</v>
      </c>
      <c r="H47" s="225" t="s">
        <v>860</v>
      </c>
      <c r="I47" s="225" t="s">
        <v>168</v>
      </c>
      <c r="J47" s="295">
        <v>46083.0</v>
      </c>
      <c r="K47" s="225"/>
      <c r="L47" s="235"/>
      <c r="M47" s="235"/>
      <c r="N47" s="235"/>
      <c r="O47" s="235"/>
      <c r="P47" s="235"/>
      <c r="Q47" s="235"/>
      <c r="R47" s="235"/>
      <c r="S47" s="235"/>
      <c r="T47" s="235"/>
      <c r="U47" s="235"/>
      <c r="V47" s="235"/>
      <c r="W47" s="235"/>
      <c r="X47" s="235"/>
      <c r="Y47" s="235"/>
      <c r="Z47" s="235"/>
    </row>
    <row r="48">
      <c r="A48" s="92"/>
      <c r="B48" s="92"/>
      <c r="C48" s="92"/>
      <c r="D48" s="224" t="s">
        <v>883</v>
      </c>
      <c r="E48" s="224" t="s">
        <v>884</v>
      </c>
      <c r="F48" s="92"/>
      <c r="G48" s="92"/>
      <c r="H48" s="92"/>
      <c r="I48" s="92"/>
      <c r="J48" s="92"/>
      <c r="K48" s="92"/>
      <c r="L48" s="235"/>
      <c r="M48" s="235"/>
      <c r="N48" s="235"/>
      <c r="O48" s="235"/>
      <c r="P48" s="235"/>
      <c r="Q48" s="235"/>
      <c r="R48" s="235"/>
      <c r="S48" s="235"/>
      <c r="T48" s="235"/>
      <c r="U48" s="235"/>
      <c r="V48" s="235"/>
      <c r="W48" s="235"/>
      <c r="X48" s="235"/>
      <c r="Y48" s="235"/>
      <c r="Z48" s="235"/>
    </row>
    <row r="49">
      <c r="A49" s="92"/>
      <c r="B49" s="92"/>
      <c r="C49" s="92"/>
      <c r="D49" s="224" t="s">
        <v>885</v>
      </c>
      <c r="E49" s="224" t="s">
        <v>886</v>
      </c>
      <c r="F49" s="92"/>
      <c r="G49" s="92"/>
      <c r="H49" s="92"/>
      <c r="I49" s="92"/>
      <c r="J49" s="92"/>
      <c r="K49" s="92"/>
      <c r="L49" s="235"/>
      <c r="M49" s="235"/>
      <c r="N49" s="235"/>
      <c r="O49" s="235"/>
      <c r="P49" s="235"/>
      <c r="Q49" s="235"/>
      <c r="R49" s="235"/>
      <c r="S49" s="235"/>
      <c r="T49" s="235"/>
      <c r="U49" s="235"/>
      <c r="V49" s="235"/>
      <c r="W49" s="235"/>
      <c r="X49" s="235"/>
      <c r="Y49" s="235"/>
      <c r="Z49" s="235"/>
    </row>
    <row r="50">
      <c r="A50" s="21"/>
      <c r="B50" s="92"/>
      <c r="C50" s="21"/>
      <c r="D50" s="224" t="s">
        <v>887</v>
      </c>
      <c r="E50" s="224"/>
      <c r="F50" s="21"/>
      <c r="G50" s="21"/>
      <c r="H50" s="21"/>
      <c r="I50" s="21"/>
      <c r="J50" s="21"/>
      <c r="K50" s="21"/>
      <c r="L50" s="235"/>
      <c r="M50" s="235"/>
      <c r="N50" s="235"/>
      <c r="O50" s="235"/>
      <c r="P50" s="235"/>
      <c r="Q50" s="235"/>
      <c r="R50" s="235"/>
      <c r="S50" s="235"/>
      <c r="T50" s="235"/>
      <c r="U50" s="235"/>
      <c r="V50" s="235"/>
      <c r="W50" s="235"/>
      <c r="X50" s="235"/>
      <c r="Y50" s="235"/>
      <c r="Z50" s="235"/>
    </row>
    <row r="51">
      <c r="A51" s="225" t="s">
        <v>888</v>
      </c>
      <c r="B51" s="92"/>
      <c r="C51" s="225" t="s">
        <v>889</v>
      </c>
      <c r="D51" s="224" t="s">
        <v>880</v>
      </c>
      <c r="E51" s="224" t="s">
        <v>890</v>
      </c>
      <c r="F51" s="225" t="s">
        <v>891</v>
      </c>
      <c r="G51" s="225" t="s">
        <v>891</v>
      </c>
      <c r="H51" s="225" t="s">
        <v>860</v>
      </c>
      <c r="I51" s="225" t="s">
        <v>168</v>
      </c>
      <c r="J51" s="295">
        <v>46084.0</v>
      </c>
      <c r="K51" s="225"/>
      <c r="L51" s="235"/>
      <c r="M51" s="235"/>
      <c r="N51" s="235"/>
      <c r="O51" s="235"/>
      <c r="P51" s="235"/>
      <c r="Q51" s="235"/>
      <c r="R51" s="235"/>
      <c r="S51" s="235"/>
      <c r="T51" s="235"/>
      <c r="U51" s="235"/>
      <c r="V51" s="235"/>
      <c r="W51" s="235"/>
      <c r="X51" s="235"/>
      <c r="Y51" s="235"/>
      <c r="Z51" s="235"/>
    </row>
    <row r="52">
      <c r="A52" s="92"/>
      <c r="B52" s="92"/>
      <c r="C52" s="92"/>
      <c r="D52" s="224" t="s">
        <v>883</v>
      </c>
      <c r="E52" s="224" t="s">
        <v>892</v>
      </c>
      <c r="F52" s="92"/>
      <c r="G52" s="92"/>
      <c r="H52" s="92"/>
      <c r="I52" s="92"/>
      <c r="J52" s="92"/>
      <c r="K52" s="92"/>
      <c r="L52" s="235"/>
      <c r="M52" s="235"/>
      <c r="N52" s="235"/>
      <c r="O52" s="235"/>
      <c r="P52" s="235"/>
      <c r="Q52" s="235"/>
      <c r="R52" s="235"/>
      <c r="S52" s="235"/>
      <c r="T52" s="235"/>
      <c r="U52" s="235"/>
      <c r="V52" s="235"/>
      <c r="W52" s="235"/>
      <c r="X52" s="235"/>
      <c r="Y52" s="235"/>
      <c r="Z52" s="235"/>
    </row>
    <row r="53">
      <c r="A53" s="92"/>
      <c r="B53" s="92"/>
      <c r="C53" s="92"/>
      <c r="D53" s="224" t="s">
        <v>893</v>
      </c>
      <c r="E53" s="224" t="s">
        <v>894</v>
      </c>
      <c r="F53" s="92"/>
      <c r="G53" s="92"/>
      <c r="H53" s="92"/>
      <c r="I53" s="92"/>
      <c r="J53" s="92"/>
      <c r="K53" s="92"/>
      <c r="L53" s="235"/>
      <c r="M53" s="235"/>
      <c r="N53" s="235"/>
      <c r="O53" s="235"/>
      <c r="P53" s="235"/>
      <c r="Q53" s="235"/>
      <c r="R53" s="235"/>
      <c r="S53" s="235"/>
      <c r="T53" s="235"/>
      <c r="U53" s="235"/>
      <c r="V53" s="235"/>
      <c r="W53" s="235"/>
      <c r="X53" s="235"/>
      <c r="Y53" s="235"/>
      <c r="Z53" s="235"/>
    </row>
    <row r="54">
      <c r="A54" s="21"/>
      <c r="B54" s="92"/>
      <c r="C54" s="21"/>
      <c r="D54" s="224" t="s">
        <v>887</v>
      </c>
      <c r="E54" s="224"/>
      <c r="F54" s="21"/>
      <c r="G54" s="21"/>
      <c r="H54" s="21"/>
      <c r="I54" s="21"/>
      <c r="J54" s="21"/>
      <c r="K54" s="21"/>
      <c r="L54" s="235"/>
      <c r="M54" s="235"/>
      <c r="N54" s="235"/>
      <c r="O54" s="235"/>
      <c r="P54" s="235"/>
      <c r="Q54" s="235"/>
      <c r="R54" s="235"/>
      <c r="S54" s="235"/>
      <c r="T54" s="235"/>
      <c r="U54" s="235"/>
      <c r="V54" s="235"/>
      <c r="W54" s="235"/>
      <c r="X54" s="235"/>
      <c r="Y54" s="235"/>
      <c r="Z54" s="235"/>
    </row>
    <row r="55" ht="33.0" customHeight="1">
      <c r="A55" s="225" t="s">
        <v>895</v>
      </c>
      <c r="B55" s="92"/>
      <c r="C55" s="225" t="s">
        <v>896</v>
      </c>
      <c r="D55" s="224" t="s">
        <v>880</v>
      </c>
      <c r="E55" s="224" t="s">
        <v>897</v>
      </c>
      <c r="F55" s="225" t="s">
        <v>898</v>
      </c>
      <c r="G55" s="225" t="s">
        <v>898</v>
      </c>
      <c r="H55" s="225" t="s">
        <v>860</v>
      </c>
      <c r="I55" s="225" t="s">
        <v>168</v>
      </c>
      <c r="J55" s="295">
        <v>46084.0</v>
      </c>
      <c r="K55" s="225"/>
      <c r="L55" s="235"/>
      <c r="M55" s="235"/>
      <c r="N55" s="235"/>
      <c r="O55" s="235"/>
      <c r="P55" s="235"/>
      <c r="Q55" s="235"/>
      <c r="R55" s="235"/>
      <c r="S55" s="235"/>
      <c r="T55" s="235"/>
      <c r="U55" s="235"/>
      <c r="V55" s="235"/>
      <c r="W55" s="235"/>
      <c r="X55" s="235"/>
      <c r="Y55" s="235"/>
      <c r="Z55" s="235"/>
    </row>
    <row r="56">
      <c r="A56" s="92"/>
      <c r="B56" s="92"/>
      <c r="C56" s="92"/>
      <c r="D56" s="224" t="s">
        <v>883</v>
      </c>
      <c r="E56" s="224" t="s">
        <v>899</v>
      </c>
      <c r="F56" s="92"/>
      <c r="G56" s="92"/>
      <c r="H56" s="92"/>
      <c r="I56" s="92"/>
      <c r="J56" s="92"/>
      <c r="K56" s="92"/>
      <c r="L56" s="235"/>
      <c r="M56" s="235"/>
      <c r="N56" s="235"/>
      <c r="O56" s="235"/>
      <c r="P56" s="235"/>
      <c r="Q56" s="235"/>
      <c r="R56" s="235"/>
      <c r="S56" s="235"/>
      <c r="T56" s="235"/>
      <c r="U56" s="235"/>
      <c r="V56" s="235"/>
      <c r="W56" s="235"/>
      <c r="X56" s="235"/>
      <c r="Y56" s="235"/>
      <c r="Z56" s="235"/>
    </row>
    <row r="57">
      <c r="A57" s="92"/>
      <c r="B57" s="92"/>
      <c r="C57" s="92"/>
      <c r="D57" s="224" t="s">
        <v>900</v>
      </c>
      <c r="E57" s="224" t="s">
        <v>901</v>
      </c>
      <c r="F57" s="92"/>
      <c r="G57" s="92"/>
      <c r="H57" s="92"/>
      <c r="I57" s="92"/>
      <c r="J57" s="92"/>
      <c r="K57" s="92"/>
      <c r="L57" s="235"/>
      <c r="M57" s="235"/>
      <c r="N57" s="235"/>
      <c r="O57" s="235"/>
      <c r="P57" s="235"/>
      <c r="Q57" s="235"/>
      <c r="R57" s="235"/>
      <c r="S57" s="235"/>
      <c r="T57" s="235"/>
      <c r="U57" s="235"/>
      <c r="V57" s="235"/>
      <c r="W57" s="235"/>
      <c r="X57" s="235"/>
      <c r="Y57" s="235"/>
      <c r="Z57" s="235"/>
    </row>
    <row r="58">
      <c r="A58" s="21"/>
      <c r="B58" s="21"/>
      <c r="C58" s="21"/>
      <c r="D58" s="224" t="s">
        <v>887</v>
      </c>
      <c r="E58" s="224"/>
      <c r="F58" s="21"/>
      <c r="G58" s="21"/>
      <c r="H58" s="21"/>
      <c r="I58" s="21"/>
      <c r="J58" s="21"/>
      <c r="K58" s="21"/>
      <c r="L58" s="235"/>
      <c r="M58" s="235"/>
      <c r="N58" s="235"/>
      <c r="O58" s="235"/>
      <c r="P58" s="235"/>
      <c r="Q58" s="235"/>
      <c r="R58" s="235"/>
      <c r="S58" s="235"/>
      <c r="T58" s="235"/>
      <c r="U58" s="235"/>
      <c r="V58" s="235"/>
      <c r="W58" s="235"/>
      <c r="X58" s="235"/>
      <c r="Y58" s="235"/>
      <c r="Z58" s="235"/>
    </row>
    <row r="59">
      <c r="A59" s="224" t="s">
        <v>902</v>
      </c>
      <c r="B59" s="224"/>
      <c r="C59" s="224"/>
      <c r="D59" s="224"/>
      <c r="E59" s="224"/>
      <c r="F59" s="224"/>
      <c r="G59" s="224"/>
      <c r="H59" s="224"/>
      <c r="I59" s="224"/>
      <c r="J59" s="224"/>
      <c r="K59" s="224"/>
      <c r="L59" s="235"/>
      <c r="M59" s="235"/>
      <c r="N59" s="235"/>
      <c r="O59" s="235"/>
      <c r="P59" s="235"/>
      <c r="Q59" s="235"/>
      <c r="R59" s="235"/>
      <c r="S59" s="235"/>
      <c r="T59" s="235"/>
      <c r="U59" s="235"/>
      <c r="V59" s="235"/>
      <c r="W59" s="235"/>
      <c r="X59" s="235"/>
      <c r="Y59" s="235"/>
      <c r="Z59" s="235"/>
    </row>
    <row r="60">
      <c r="A60" s="225" t="s">
        <v>903</v>
      </c>
      <c r="B60" s="225" t="s">
        <v>904</v>
      </c>
      <c r="C60" s="225" t="s">
        <v>905</v>
      </c>
      <c r="D60" s="224" t="s">
        <v>880</v>
      </c>
      <c r="E60" s="224" t="s">
        <v>906</v>
      </c>
      <c r="F60" s="225" t="s">
        <v>907</v>
      </c>
      <c r="G60" s="225" t="s">
        <v>907</v>
      </c>
      <c r="H60" s="225" t="s">
        <v>867</v>
      </c>
      <c r="I60" s="225" t="s">
        <v>168</v>
      </c>
      <c r="J60" s="295">
        <v>46086.0</v>
      </c>
      <c r="K60" s="225"/>
      <c r="L60" s="235"/>
      <c r="M60" s="235"/>
      <c r="N60" s="235"/>
      <c r="O60" s="235"/>
      <c r="P60" s="235"/>
      <c r="Q60" s="235"/>
      <c r="R60" s="235"/>
      <c r="S60" s="235"/>
      <c r="T60" s="235"/>
      <c r="U60" s="235"/>
      <c r="V60" s="235"/>
      <c r="W60" s="235"/>
      <c r="X60" s="235"/>
      <c r="Y60" s="235"/>
      <c r="Z60" s="235"/>
    </row>
    <row r="61">
      <c r="A61" s="92"/>
      <c r="B61" s="92"/>
      <c r="C61" s="92"/>
      <c r="D61" s="224" t="s">
        <v>908</v>
      </c>
      <c r="E61" s="224" t="s">
        <v>909</v>
      </c>
      <c r="F61" s="92"/>
      <c r="G61" s="92"/>
      <c r="H61" s="92"/>
      <c r="I61" s="92"/>
      <c r="J61" s="92"/>
      <c r="K61" s="92"/>
      <c r="L61" s="235"/>
      <c r="M61" s="235"/>
      <c r="N61" s="235"/>
      <c r="O61" s="235"/>
      <c r="P61" s="235"/>
      <c r="Q61" s="235"/>
      <c r="R61" s="235"/>
      <c r="S61" s="235"/>
      <c r="T61" s="235"/>
      <c r="U61" s="235"/>
      <c r="V61" s="235"/>
      <c r="W61" s="235"/>
      <c r="X61" s="235"/>
      <c r="Y61" s="235"/>
      <c r="Z61" s="235"/>
    </row>
    <row r="62">
      <c r="A62" s="92"/>
      <c r="B62" s="92"/>
      <c r="C62" s="92"/>
      <c r="D62" s="224" t="s">
        <v>910</v>
      </c>
      <c r="E62" s="224" t="s">
        <v>911</v>
      </c>
      <c r="F62" s="92"/>
      <c r="G62" s="92"/>
      <c r="H62" s="92"/>
      <c r="I62" s="92"/>
      <c r="J62" s="92"/>
      <c r="K62" s="92"/>
      <c r="L62" s="235"/>
      <c r="M62" s="235"/>
      <c r="N62" s="235"/>
      <c r="O62" s="235"/>
      <c r="P62" s="235"/>
      <c r="Q62" s="235"/>
      <c r="R62" s="235"/>
      <c r="S62" s="235"/>
      <c r="T62" s="235"/>
      <c r="U62" s="235"/>
      <c r="V62" s="235"/>
      <c r="W62" s="235"/>
      <c r="X62" s="235"/>
      <c r="Y62" s="235"/>
      <c r="Z62" s="235"/>
    </row>
    <row r="63">
      <c r="A63" s="92"/>
      <c r="B63" s="92"/>
      <c r="C63" s="92"/>
      <c r="D63" s="224" t="s">
        <v>912</v>
      </c>
      <c r="E63" s="224"/>
      <c r="F63" s="92"/>
      <c r="G63" s="92"/>
      <c r="H63" s="92"/>
      <c r="I63" s="92"/>
      <c r="J63" s="92"/>
      <c r="K63" s="92"/>
      <c r="L63" s="235"/>
      <c r="M63" s="235"/>
      <c r="N63" s="235"/>
      <c r="O63" s="235"/>
      <c r="P63" s="235"/>
      <c r="Q63" s="235"/>
      <c r="R63" s="235"/>
      <c r="S63" s="235"/>
      <c r="T63" s="235"/>
      <c r="U63" s="235"/>
      <c r="V63" s="235"/>
      <c r="W63" s="235"/>
      <c r="X63" s="235"/>
      <c r="Y63" s="235"/>
      <c r="Z63" s="235"/>
    </row>
    <row r="64">
      <c r="A64" s="21"/>
      <c r="B64" s="21"/>
      <c r="C64" s="21"/>
      <c r="D64" s="224" t="s">
        <v>913</v>
      </c>
      <c r="E64" s="224"/>
      <c r="F64" s="21"/>
      <c r="G64" s="21"/>
      <c r="H64" s="21"/>
      <c r="I64" s="21"/>
      <c r="J64" s="21"/>
      <c r="K64" s="21"/>
      <c r="L64" s="235"/>
      <c r="M64" s="235"/>
      <c r="N64" s="235"/>
      <c r="O64" s="235"/>
      <c r="P64" s="235"/>
      <c r="Q64" s="235"/>
      <c r="R64" s="235"/>
      <c r="S64" s="235"/>
      <c r="T64" s="235"/>
      <c r="U64" s="235"/>
      <c r="V64" s="235"/>
      <c r="W64" s="235"/>
      <c r="X64" s="235"/>
      <c r="Y64" s="235"/>
      <c r="Z64" s="235"/>
    </row>
    <row r="65">
      <c r="A65" s="225" t="s">
        <v>914</v>
      </c>
      <c r="B65" s="225" t="s">
        <v>915</v>
      </c>
      <c r="C65" s="225" t="s">
        <v>916</v>
      </c>
      <c r="D65" s="224" t="s">
        <v>880</v>
      </c>
      <c r="E65" s="225" t="s">
        <v>917</v>
      </c>
      <c r="F65" s="225" t="s">
        <v>918</v>
      </c>
      <c r="G65" s="225" t="s">
        <v>918</v>
      </c>
      <c r="H65" s="225" t="s">
        <v>717</v>
      </c>
      <c r="I65" s="225" t="s">
        <v>168</v>
      </c>
      <c r="J65" s="295">
        <v>46086.0</v>
      </c>
      <c r="K65" s="225"/>
      <c r="L65" s="235"/>
      <c r="M65" s="235"/>
      <c r="N65" s="235"/>
      <c r="O65" s="235"/>
      <c r="P65" s="235"/>
      <c r="Q65" s="235"/>
      <c r="R65" s="235"/>
      <c r="S65" s="235"/>
      <c r="T65" s="235"/>
      <c r="U65" s="235"/>
      <c r="V65" s="235"/>
      <c r="W65" s="235"/>
      <c r="X65" s="235"/>
      <c r="Y65" s="235"/>
      <c r="Z65" s="235"/>
    </row>
    <row r="66">
      <c r="A66" s="92"/>
      <c r="B66" s="92"/>
      <c r="C66" s="92"/>
      <c r="D66" s="224" t="s">
        <v>908</v>
      </c>
      <c r="E66" s="92"/>
      <c r="F66" s="92"/>
      <c r="G66" s="92"/>
      <c r="H66" s="92"/>
      <c r="I66" s="92"/>
      <c r="J66" s="92"/>
      <c r="K66" s="92"/>
      <c r="L66" s="235"/>
      <c r="M66" s="235"/>
      <c r="N66" s="235"/>
      <c r="O66" s="235"/>
      <c r="P66" s="235"/>
      <c r="Q66" s="235"/>
      <c r="R66" s="235"/>
      <c r="S66" s="235"/>
      <c r="T66" s="235"/>
      <c r="U66" s="235"/>
      <c r="V66" s="235"/>
      <c r="W66" s="235"/>
      <c r="X66" s="235"/>
      <c r="Y66" s="235"/>
      <c r="Z66" s="235"/>
    </row>
    <row r="67">
      <c r="A67" s="92"/>
      <c r="B67" s="92"/>
      <c r="C67" s="92"/>
      <c r="D67" s="224" t="s">
        <v>919</v>
      </c>
      <c r="E67" s="92"/>
      <c r="F67" s="92"/>
      <c r="G67" s="92"/>
      <c r="H67" s="92"/>
      <c r="I67" s="92"/>
      <c r="J67" s="92"/>
      <c r="K67" s="92"/>
      <c r="L67" s="235"/>
      <c r="M67" s="235"/>
      <c r="N67" s="235"/>
      <c r="O67" s="235"/>
      <c r="P67" s="235"/>
      <c r="Q67" s="235"/>
      <c r="R67" s="235"/>
      <c r="S67" s="235"/>
      <c r="T67" s="235"/>
      <c r="U67" s="235"/>
      <c r="V67" s="235"/>
      <c r="W67" s="235"/>
      <c r="X67" s="235"/>
      <c r="Y67" s="235"/>
      <c r="Z67" s="235"/>
    </row>
    <row r="68">
      <c r="A68" s="92"/>
      <c r="B68" s="92"/>
      <c r="C68" s="92"/>
      <c r="D68" s="224" t="s">
        <v>920</v>
      </c>
      <c r="E68" s="92"/>
      <c r="F68" s="92"/>
      <c r="G68" s="92"/>
      <c r="H68" s="92"/>
      <c r="I68" s="92"/>
      <c r="J68" s="92"/>
      <c r="K68" s="92"/>
      <c r="L68" s="235"/>
      <c r="M68" s="235"/>
      <c r="N68" s="235"/>
      <c r="O68" s="235"/>
      <c r="P68" s="235"/>
      <c r="Q68" s="235"/>
      <c r="R68" s="235"/>
      <c r="S68" s="235"/>
      <c r="T68" s="235"/>
      <c r="U68" s="235"/>
      <c r="V68" s="235"/>
      <c r="W68" s="235"/>
      <c r="X68" s="235"/>
      <c r="Y68" s="235"/>
      <c r="Z68" s="235"/>
    </row>
    <row r="69">
      <c r="A69" s="21"/>
      <c r="B69" s="21"/>
      <c r="C69" s="21"/>
      <c r="D69" s="224" t="s">
        <v>913</v>
      </c>
      <c r="E69" s="21"/>
      <c r="F69" s="21"/>
      <c r="G69" s="21"/>
      <c r="H69" s="21"/>
      <c r="I69" s="21"/>
      <c r="J69" s="21"/>
      <c r="K69" s="21"/>
      <c r="L69" s="235"/>
      <c r="M69" s="235"/>
      <c r="N69" s="235"/>
      <c r="O69" s="235"/>
      <c r="P69" s="235"/>
      <c r="Q69" s="235"/>
      <c r="R69" s="235"/>
      <c r="S69" s="235"/>
      <c r="T69" s="235"/>
      <c r="U69" s="235"/>
      <c r="V69" s="235"/>
      <c r="W69" s="235"/>
      <c r="X69" s="235"/>
      <c r="Y69" s="235"/>
      <c r="Z69" s="235"/>
    </row>
    <row r="70">
      <c r="A70" s="225" t="s">
        <v>921</v>
      </c>
      <c r="B70" s="225" t="s">
        <v>922</v>
      </c>
      <c r="C70" s="225" t="s">
        <v>923</v>
      </c>
      <c r="D70" s="224" t="s">
        <v>924</v>
      </c>
      <c r="E70" s="225" t="s">
        <v>925</v>
      </c>
      <c r="F70" s="225" t="s">
        <v>926</v>
      </c>
      <c r="G70" s="225" t="s">
        <v>926</v>
      </c>
      <c r="H70" s="225" t="s">
        <v>927</v>
      </c>
      <c r="I70" s="225" t="s">
        <v>168</v>
      </c>
      <c r="J70" s="295">
        <v>46087.0</v>
      </c>
      <c r="K70" s="225"/>
      <c r="L70" s="235"/>
      <c r="M70" s="235"/>
      <c r="N70" s="235"/>
      <c r="O70" s="235"/>
      <c r="P70" s="235"/>
      <c r="Q70" s="235"/>
      <c r="R70" s="235"/>
      <c r="S70" s="235"/>
      <c r="T70" s="235"/>
      <c r="U70" s="235"/>
      <c r="V70" s="235"/>
      <c r="W70" s="235"/>
      <c r="X70" s="235"/>
      <c r="Y70" s="235"/>
      <c r="Z70" s="235"/>
    </row>
    <row r="71">
      <c r="A71" s="21"/>
      <c r="B71" s="21"/>
      <c r="C71" s="21"/>
      <c r="D71" s="224" t="s">
        <v>928</v>
      </c>
      <c r="E71" s="21"/>
      <c r="F71" s="21"/>
      <c r="G71" s="21"/>
      <c r="H71" s="21"/>
      <c r="I71" s="21"/>
      <c r="J71" s="21"/>
      <c r="K71" s="21"/>
      <c r="L71" s="235"/>
      <c r="M71" s="235"/>
      <c r="N71" s="235"/>
      <c r="O71" s="235"/>
      <c r="P71" s="235"/>
      <c r="Q71" s="235"/>
      <c r="R71" s="235"/>
      <c r="S71" s="235"/>
      <c r="T71" s="235"/>
      <c r="U71" s="235"/>
      <c r="V71" s="235"/>
      <c r="W71" s="235"/>
      <c r="X71" s="235"/>
      <c r="Y71" s="235"/>
      <c r="Z71" s="235"/>
    </row>
    <row r="72">
      <c r="A72" s="225" t="s">
        <v>929</v>
      </c>
      <c r="B72" s="225" t="s">
        <v>930</v>
      </c>
      <c r="C72" s="225" t="s">
        <v>931</v>
      </c>
      <c r="D72" s="224" t="s">
        <v>932</v>
      </c>
      <c r="E72" s="224" t="s">
        <v>933</v>
      </c>
      <c r="F72" s="225" t="s">
        <v>934</v>
      </c>
      <c r="G72" s="225" t="s">
        <v>934</v>
      </c>
      <c r="H72" s="225" t="s">
        <v>935</v>
      </c>
      <c r="I72" s="225" t="s">
        <v>168</v>
      </c>
      <c r="J72" s="295">
        <v>46087.0</v>
      </c>
      <c r="K72" s="225"/>
      <c r="L72" s="235"/>
      <c r="M72" s="235"/>
      <c r="N72" s="235"/>
      <c r="O72" s="235"/>
      <c r="P72" s="235"/>
      <c r="Q72" s="235"/>
      <c r="R72" s="235"/>
      <c r="S72" s="235"/>
      <c r="T72" s="235"/>
      <c r="U72" s="235"/>
      <c r="V72" s="235"/>
      <c r="W72" s="235"/>
      <c r="X72" s="235"/>
      <c r="Y72" s="235"/>
      <c r="Z72" s="235"/>
    </row>
    <row r="73">
      <c r="A73" s="21"/>
      <c r="B73" s="21"/>
      <c r="C73" s="21"/>
      <c r="D73" s="224" t="s">
        <v>936</v>
      </c>
      <c r="E73" s="224" t="s">
        <v>937</v>
      </c>
      <c r="F73" s="21"/>
      <c r="G73" s="21"/>
      <c r="H73" s="21"/>
      <c r="I73" s="21"/>
      <c r="J73" s="21"/>
      <c r="K73" s="21"/>
      <c r="L73" s="235"/>
      <c r="M73" s="235"/>
      <c r="N73" s="235"/>
      <c r="O73" s="235"/>
      <c r="P73" s="235"/>
      <c r="Q73" s="235"/>
      <c r="R73" s="235"/>
      <c r="S73" s="235"/>
      <c r="T73" s="235"/>
      <c r="U73" s="235"/>
      <c r="V73" s="235"/>
      <c r="W73" s="235"/>
      <c r="X73" s="235"/>
      <c r="Y73" s="235"/>
      <c r="Z73" s="235"/>
    </row>
    <row r="74">
      <c r="A74" s="225" t="s">
        <v>938</v>
      </c>
      <c r="B74" s="225" t="s">
        <v>939</v>
      </c>
      <c r="C74" s="225" t="s">
        <v>940</v>
      </c>
      <c r="D74" s="224" t="s">
        <v>880</v>
      </c>
      <c r="E74" s="224" t="s">
        <v>941</v>
      </c>
      <c r="F74" s="225" t="s">
        <v>942</v>
      </c>
      <c r="G74" s="225" t="s">
        <v>942</v>
      </c>
      <c r="H74" s="225" t="s">
        <v>867</v>
      </c>
      <c r="I74" s="225" t="s">
        <v>168</v>
      </c>
      <c r="J74" s="295">
        <v>46088.0</v>
      </c>
      <c r="K74" s="225"/>
      <c r="L74" s="235"/>
      <c r="M74" s="235"/>
      <c r="N74" s="235"/>
      <c r="O74" s="235"/>
      <c r="P74" s="235"/>
      <c r="Q74" s="235"/>
      <c r="R74" s="235"/>
      <c r="S74" s="235"/>
      <c r="T74" s="235"/>
      <c r="U74" s="235"/>
      <c r="V74" s="235"/>
      <c r="W74" s="235"/>
      <c r="X74" s="235"/>
      <c r="Y74" s="235"/>
      <c r="Z74" s="235"/>
    </row>
    <row r="75">
      <c r="A75" s="92"/>
      <c r="B75" s="92"/>
      <c r="C75" s="92"/>
      <c r="D75" s="224" t="s">
        <v>943</v>
      </c>
      <c r="E75" s="224" t="s">
        <v>944</v>
      </c>
      <c r="F75" s="92"/>
      <c r="G75" s="92"/>
      <c r="H75" s="92"/>
      <c r="I75" s="92"/>
      <c r="J75" s="92"/>
      <c r="K75" s="92"/>
      <c r="L75" s="235"/>
      <c r="M75" s="235"/>
      <c r="N75" s="235"/>
      <c r="O75" s="235"/>
      <c r="P75" s="235"/>
      <c r="Q75" s="235"/>
      <c r="R75" s="235"/>
      <c r="S75" s="235"/>
      <c r="T75" s="235"/>
      <c r="U75" s="235"/>
      <c r="V75" s="235"/>
      <c r="W75" s="235"/>
      <c r="X75" s="235"/>
      <c r="Y75" s="235"/>
      <c r="Z75" s="235"/>
    </row>
    <row r="76">
      <c r="A76" s="92"/>
      <c r="B76" s="92"/>
      <c r="C76" s="92"/>
      <c r="D76" s="224" t="s">
        <v>945</v>
      </c>
      <c r="E76" s="224" t="s">
        <v>946</v>
      </c>
      <c r="F76" s="92"/>
      <c r="G76" s="92"/>
      <c r="H76" s="92"/>
      <c r="I76" s="92"/>
      <c r="J76" s="92"/>
      <c r="K76" s="92"/>
      <c r="L76" s="235"/>
      <c r="M76" s="235"/>
      <c r="N76" s="235"/>
      <c r="O76" s="235"/>
      <c r="P76" s="235"/>
      <c r="Q76" s="235"/>
      <c r="R76" s="235"/>
      <c r="S76" s="235"/>
      <c r="T76" s="235"/>
      <c r="U76" s="235"/>
      <c r="V76" s="235"/>
      <c r="W76" s="235"/>
      <c r="X76" s="235"/>
      <c r="Y76" s="235"/>
      <c r="Z76" s="235"/>
    </row>
    <row r="77">
      <c r="A77" s="21"/>
      <c r="B77" s="21"/>
      <c r="C77" s="21"/>
      <c r="D77" s="224" t="s">
        <v>947</v>
      </c>
      <c r="E77" s="224"/>
      <c r="F77" s="21"/>
      <c r="G77" s="21"/>
      <c r="H77" s="21"/>
      <c r="I77" s="21"/>
      <c r="J77" s="21"/>
      <c r="K77" s="21"/>
      <c r="L77" s="235"/>
      <c r="M77" s="235"/>
      <c r="N77" s="235"/>
      <c r="O77" s="235"/>
      <c r="P77" s="235"/>
      <c r="Q77" s="235"/>
      <c r="R77" s="235"/>
      <c r="S77" s="235"/>
      <c r="T77" s="235"/>
      <c r="U77" s="235"/>
      <c r="V77" s="235"/>
      <c r="W77" s="235"/>
      <c r="X77" s="235"/>
      <c r="Y77" s="235"/>
      <c r="Z77" s="235"/>
    </row>
    <row r="78">
      <c r="A78" s="224" t="s">
        <v>948</v>
      </c>
      <c r="B78" s="224"/>
      <c r="C78" s="224"/>
      <c r="D78" s="224"/>
      <c r="E78" s="224"/>
      <c r="F78" s="224"/>
      <c r="G78" s="224"/>
      <c r="H78" s="224"/>
      <c r="I78" s="224"/>
      <c r="J78" s="224"/>
      <c r="K78" s="224"/>
      <c r="L78" s="235"/>
      <c r="M78" s="235"/>
      <c r="N78" s="235"/>
      <c r="O78" s="235"/>
      <c r="P78" s="235"/>
      <c r="Q78" s="235"/>
      <c r="R78" s="235"/>
      <c r="S78" s="235"/>
      <c r="T78" s="235"/>
      <c r="U78" s="235"/>
      <c r="V78" s="235"/>
      <c r="W78" s="235"/>
      <c r="X78" s="235"/>
      <c r="Y78" s="235"/>
      <c r="Z78" s="235"/>
    </row>
    <row r="79">
      <c r="A79" s="225" t="s">
        <v>949</v>
      </c>
      <c r="B79" s="225" t="s">
        <v>950</v>
      </c>
      <c r="C79" s="225" t="s">
        <v>951</v>
      </c>
      <c r="D79" s="224" t="s">
        <v>880</v>
      </c>
      <c r="E79" s="225" t="s">
        <v>952</v>
      </c>
      <c r="F79" s="225" t="s">
        <v>953</v>
      </c>
      <c r="G79" s="225" t="s">
        <v>953</v>
      </c>
      <c r="H79" s="225" t="s">
        <v>954</v>
      </c>
      <c r="I79" s="225" t="s">
        <v>168</v>
      </c>
      <c r="J79" s="295">
        <v>46088.0</v>
      </c>
      <c r="K79" s="225"/>
      <c r="L79" s="235"/>
      <c r="M79" s="235"/>
      <c r="N79" s="235"/>
      <c r="O79" s="235"/>
      <c r="P79" s="235"/>
      <c r="Q79" s="235"/>
      <c r="R79" s="235"/>
      <c r="S79" s="235"/>
      <c r="T79" s="235"/>
      <c r="U79" s="235"/>
      <c r="V79" s="235"/>
      <c r="W79" s="235"/>
      <c r="X79" s="235"/>
      <c r="Y79" s="235"/>
      <c r="Z79" s="235"/>
    </row>
    <row r="80">
      <c r="A80" s="92"/>
      <c r="B80" s="92"/>
      <c r="C80" s="92"/>
      <c r="D80" s="224" t="s">
        <v>955</v>
      </c>
      <c r="E80" s="92"/>
      <c r="F80" s="92"/>
      <c r="G80" s="92"/>
      <c r="H80" s="92"/>
      <c r="I80" s="92"/>
      <c r="J80" s="92"/>
      <c r="K80" s="92"/>
      <c r="L80" s="235"/>
      <c r="M80" s="235"/>
      <c r="N80" s="235"/>
      <c r="O80" s="235"/>
      <c r="P80" s="235"/>
      <c r="Q80" s="235"/>
      <c r="R80" s="235"/>
      <c r="S80" s="235"/>
      <c r="T80" s="235"/>
      <c r="U80" s="235"/>
      <c r="V80" s="235"/>
      <c r="W80" s="235"/>
      <c r="X80" s="235"/>
      <c r="Y80" s="235"/>
      <c r="Z80" s="235"/>
    </row>
    <row r="81">
      <c r="A81" s="92"/>
      <c r="B81" s="92"/>
      <c r="C81" s="92"/>
      <c r="D81" s="224" t="s">
        <v>956</v>
      </c>
      <c r="E81" s="92"/>
      <c r="F81" s="92"/>
      <c r="G81" s="92"/>
      <c r="H81" s="92"/>
      <c r="I81" s="92"/>
      <c r="J81" s="92"/>
      <c r="K81" s="92"/>
      <c r="L81" s="235"/>
      <c r="M81" s="235"/>
      <c r="N81" s="235"/>
      <c r="O81" s="235"/>
      <c r="P81" s="235"/>
      <c r="Q81" s="235"/>
      <c r="R81" s="235"/>
      <c r="S81" s="235"/>
      <c r="T81" s="235"/>
      <c r="U81" s="235"/>
      <c r="V81" s="235"/>
      <c r="W81" s="235"/>
      <c r="X81" s="235"/>
      <c r="Y81" s="235"/>
      <c r="Z81" s="235"/>
    </row>
    <row r="82">
      <c r="A82" s="92"/>
      <c r="B82" s="92"/>
      <c r="C82" s="92"/>
      <c r="D82" s="224" t="s">
        <v>957</v>
      </c>
      <c r="E82" s="92"/>
      <c r="F82" s="92"/>
      <c r="G82" s="92"/>
      <c r="H82" s="92"/>
      <c r="I82" s="92"/>
      <c r="J82" s="92"/>
      <c r="K82" s="92"/>
      <c r="L82" s="235"/>
      <c r="M82" s="235"/>
      <c r="N82" s="235"/>
      <c r="O82" s="235"/>
      <c r="P82" s="235"/>
      <c r="Q82" s="235"/>
      <c r="R82" s="235"/>
      <c r="S82" s="235"/>
      <c r="T82" s="235"/>
      <c r="U82" s="235"/>
      <c r="V82" s="235"/>
      <c r="W82" s="235"/>
      <c r="X82" s="235"/>
      <c r="Y82" s="235"/>
      <c r="Z82" s="235"/>
    </row>
    <row r="83">
      <c r="A83" s="21"/>
      <c r="B83" s="21"/>
      <c r="C83" s="21"/>
      <c r="D83" s="224" t="s">
        <v>958</v>
      </c>
      <c r="E83" s="21"/>
      <c r="F83" s="21"/>
      <c r="G83" s="21"/>
      <c r="H83" s="21"/>
      <c r="I83" s="21"/>
      <c r="J83" s="21"/>
      <c r="K83" s="21"/>
      <c r="L83" s="235"/>
      <c r="M83" s="235"/>
      <c r="N83" s="235"/>
      <c r="O83" s="235"/>
      <c r="P83" s="235"/>
      <c r="Q83" s="235"/>
      <c r="R83" s="235"/>
      <c r="S83" s="235"/>
      <c r="T83" s="235"/>
      <c r="U83" s="235"/>
      <c r="V83" s="235"/>
      <c r="W83" s="235"/>
      <c r="X83" s="235"/>
      <c r="Y83" s="235"/>
      <c r="Z83" s="235"/>
    </row>
    <row r="84">
      <c r="A84" s="225" t="s">
        <v>959</v>
      </c>
      <c r="B84" s="225" t="s">
        <v>960</v>
      </c>
      <c r="C84" s="225" t="s">
        <v>961</v>
      </c>
      <c r="D84" s="224" t="s">
        <v>924</v>
      </c>
      <c r="E84" s="225" t="s">
        <v>925</v>
      </c>
      <c r="F84" s="225" t="s">
        <v>962</v>
      </c>
      <c r="G84" s="225" t="s">
        <v>962</v>
      </c>
      <c r="H84" s="225" t="s">
        <v>927</v>
      </c>
      <c r="I84" s="225" t="s">
        <v>168</v>
      </c>
      <c r="J84" s="295">
        <v>46089.0</v>
      </c>
      <c r="K84" s="225"/>
      <c r="L84" s="235"/>
      <c r="M84" s="235"/>
      <c r="N84" s="235"/>
      <c r="O84" s="235"/>
      <c r="P84" s="235"/>
      <c r="Q84" s="235"/>
      <c r="R84" s="235"/>
      <c r="S84" s="235"/>
      <c r="T84" s="235"/>
      <c r="U84" s="235"/>
      <c r="V84" s="235"/>
      <c r="W84" s="235"/>
      <c r="X84" s="235"/>
      <c r="Y84" s="235"/>
      <c r="Z84" s="235"/>
    </row>
    <row r="85">
      <c r="A85" s="21"/>
      <c r="B85" s="21"/>
      <c r="C85" s="21"/>
      <c r="D85" s="224" t="s">
        <v>963</v>
      </c>
      <c r="E85" s="21"/>
      <c r="F85" s="21"/>
      <c r="G85" s="21"/>
      <c r="H85" s="21"/>
      <c r="I85" s="21"/>
      <c r="J85" s="21"/>
      <c r="K85" s="21"/>
      <c r="L85" s="235"/>
      <c r="M85" s="235"/>
      <c r="N85" s="235"/>
      <c r="O85" s="235"/>
      <c r="P85" s="235"/>
      <c r="Q85" s="235"/>
      <c r="R85" s="235"/>
      <c r="S85" s="235"/>
      <c r="T85" s="235"/>
      <c r="U85" s="235"/>
      <c r="V85" s="235"/>
      <c r="W85" s="235"/>
      <c r="X85" s="235"/>
      <c r="Y85" s="235"/>
      <c r="Z85" s="235"/>
    </row>
    <row r="86">
      <c r="A86" s="224" t="s">
        <v>964</v>
      </c>
      <c r="B86" s="224"/>
      <c r="C86" s="224"/>
      <c r="D86" s="224"/>
      <c r="E86" s="224"/>
      <c r="F86" s="224"/>
      <c r="G86" s="224"/>
      <c r="H86" s="224"/>
      <c r="I86" s="224"/>
      <c r="J86" s="224"/>
      <c r="K86" s="224"/>
      <c r="L86" s="235"/>
      <c r="M86" s="235"/>
      <c r="N86" s="235"/>
      <c r="O86" s="235"/>
      <c r="P86" s="235"/>
      <c r="Q86" s="235"/>
      <c r="R86" s="235"/>
      <c r="S86" s="235"/>
      <c r="T86" s="235"/>
      <c r="U86" s="235"/>
      <c r="V86" s="235"/>
      <c r="W86" s="235"/>
      <c r="X86" s="235"/>
      <c r="Y86" s="235"/>
      <c r="Z86" s="235"/>
    </row>
    <row r="87">
      <c r="A87" s="225" t="s">
        <v>965</v>
      </c>
      <c r="B87" s="225" t="s">
        <v>966</v>
      </c>
      <c r="C87" s="225" t="s">
        <v>967</v>
      </c>
      <c r="D87" s="224" t="s">
        <v>880</v>
      </c>
      <c r="E87" s="225" t="s">
        <v>968</v>
      </c>
      <c r="F87" s="225" t="s">
        <v>969</v>
      </c>
      <c r="G87" s="225" t="s">
        <v>969</v>
      </c>
      <c r="H87" s="225" t="s">
        <v>970</v>
      </c>
      <c r="I87" s="225" t="s">
        <v>168</v>
      </c>
      <c r="J87" s="295">
        <v>46089.0</v>
      </c>
      <c r="K87" s="225"/>
      <c r="L87" s="235"/>
      <c r="M87" s="235"/>
      <c r="N87" s="235"/>
      <c r="O87" s="235"/>
      <c r="P87" s="235"/>
      <c r="Q87" s="235"/>
      <c r="R87" s="235"/>
      <c r="S87" s="235"/>
      <c r="T87" s="235"/>
      <c r="U87" s="235"/>
      <c r="V87" s="235"/>
      <c r="W87" s="235"/>
      <c r="X87" s="235"/>
      <c r="Y87" s="235"/>
      <c r="Z87" s="235"/>
    </row>
    <row r="88">
      <c r="A88" s="92"/>
      <c r="B88" s="92"/>
      <c r="C88" s="92"/>
      <c r="D88" s="224" t="s">
        <v>908</v>
      </c>
      <c r="E88" s="92"/>
      <c r="F88" s="92"/>
      <c r="G88" s="92"/>
      <c r="H88" s="92"/>
      <c r="I88" s="92"/>
      <c r="J88" s="92"/>
      <c r="K88" s="92"/>
      <c r="L88" s="235"/>
      <c r="M88" s="235"/>
      <c r="N88" s="235"/>
      <c r="O88" s="235"/>
      <c r="P88" s="235"/>
      <c r="Q88" s="235"/>
      <c r="R88" s="235"/>
      <c r="S88" s="235"/>
      <c r="T88" s="235"/>
      <c r="U88" s="235"/>
      <c r="V88" s="235"/>
      <c r="W88" s="235"/>
      <c r="X88" s="235"/>
      <c r="Y88" s="235"/>
      <c r="Z88" s="235"/>
    </row>
    <row r="89">
      <c r="A89" s="92"/>
      <c r="B89" s="92"/>
      <c r="C89" s="92"/>
      <c r="D89" s="224" t="s">
        <v>971</v>
      </c>
      <c r="E89" s="92"/>
      <c r="F89" s="92"/>
      <c r="G89" s="92"/>
      <c r="H89" s="92"/>
      <c r="I89" s="92"/>
      <c r="J89" s="92"/>
      <c r="K89" s="92"/>
      <c r="L89" s="235"/>
      <c r="M89" s="235"/>
      <c r="N89" s="235"/>
      <c r="O89" s="235"/>
      <c r="P89" s="235"/>
      <c r="Q89" s="235"/>
      <c r="R89" s="235"/>
      <c r="S89" s="235"/>
      <c r="T89" s="235"/>
      <c r="U89" s="235"/>
      <c r="V89" s="235"/>
      <c r="W89" s="235"/>
      <c r="X89" s="235"/>
      <c r="Y89" s="235"/>
      <c r="Z89" s="235"/>
    </row>
    <row r="90">
      <c r="A90" s="21"/>
      <c r="B90" s="21"/>
      <c r="C90" s="21"/>
      <c r="D90" s="224" t="s">
        <v>972</v>
      </c>
      <c r="E90" s="21"/>
      <c r="F90" s="21"/>
      <c r="G90" s="21"/>
      <c r="H90" s="21"/>
      <c r="I90" s="21"/>
      <c r="J90" s="21"/>
      <c r="K90" s="21"/>
      <c r="L90" s="235"/>
      <c r="M90" s="235"/>
      <c r="N90" s="235"/>
      <c r="O90" s="235"/>
      <c r="P90" s="235"/>
      <c r="Q90" s="235"/>
      <c r="R90" s="235"/>
      <c r="S90" s="235"/>
      <c r="T90" s="235"/>
      <c r="U90" s="235"/>
      <c r="V90" s="235"/>
      <c r="W90" s="235"/>
      <c r="X90" s="235"/>
      <c r="Y90" s="235"/>
      <c r="Z90" s="235"/>
    </row>
    <row r="91">
      <c r="A91" s="225" t="s">
        <v>973</v>
      </c>
      <c r="B91" s="225" t="s">
        <v>974</v>
      </c>
      <c r="C91" s="225" t="s">
        <v>975</v>
      </c>
      <c r="D91" s="224" t="s">
        <v>976</v>
      </c>
      <c r="E91" s="225" t="s">
        <v>977</v>
      </c>
      <c r="F91" s="225" t="s">
        <v>978</v>
      </c>
      <c r="G91" s="225" t="s">
        <v>978</v>
      </c>
      <c r="H91" s="225" t="s">
        <v>979</v>
      </c>
      <c r="I91" s="225" t="s">
        <v>168</v>
      </c>
      <c r="J91" s="295">
        <v>46090.0</v>
      </c>
      <c r="K91" s="225"/>
      <c r="L91" s="235"/>
      <c r="M91" s="235"/>
      <c r="N91" s="235"/>
      <c r="O91" s="235"/>
      <c r="P91" s="235"/>
      <c r="Q91" s="235"/>
      <c r="R91" s="235"/>
      <c r="S91" s="235"/>
      <c r="T91" s="235"/>
      <c r="U91" s="235"/>
      <c r="V91" s="235"/>
      <c r="W91" s="235"/>
      <c r="X91" s="235"/>
      <c r="Y91" s="235"/>
      <c r="Z91" s="235"/>
    </row>
    <row r="92">
      <c r="A92" s="21"/>
      <c r="B92" s="21"/>
      <c r="C92" s="21"/>
      <c r="D92" s="224" t="s">
        <v>908</v>
      </c>
      <c r="E92" s="21"/>
      <c r="F92" s="21"/>
      <c r="G92" s="21"/>
      <c r="H92" s="21"/>
      <c r="I92" s="21"/>
      <c r="J92" s="21"/>
      <c r="K92" s="21"/>
      <c r="L92" s="235"/>
      <c r="M92" s="235"/>
      <c r="N92" s="235"/>
      <c r="O92" s="235"/>
      <c r="P92" s="235"/>
      <c r="Q92" s="235"/>
      <c r="R92" s="235"/>
      <c r="S92" s="235"/>
      <c r="T92" s="235"/>
      <c r="U92" s="235"/>
      <c r="V92" s="235"/>
      <c r="W92" s="235"/>
      <c r="X92" s="235"/>
      <c r="Y92" s="235"/>
      <c r="Z92" s="235"/>
    </row>
    <row r="93">
      <c r="A93" s="225" t="s">
        <v>980</v>
      </c>
      <c r="B93" s="225" t="s">
        <v>981</v>
      </c>
      <c r="C93" s="225" t="s">
        <v>982</v>
      </c>
      <c r="D93" s="224" t="s">
        <v>880</v>
      </c>
      <c r="E93" s="225" t="s">
        <v>983</v>
      </c>
      <c r="F93" s="225" t="s">
        <v>984</v>
      </c>
      <c r="G93" s="225" t="s">
        <v>984</v>
      </c>
      <c r="H93" s="225" t="s">
        <v>985</v>
      </c>
      <c r="I93" s="225" t="s">
        <v>168</v>
      </c>
      <c r="J93" s="295">
        <v>46090.0</v>
      </c>
      <c r="K93" s="225"/>
      <c r="L93" s="235"/>
      <c r="M93" s="235"/>
      <c r="N93" s="235"/>
      <c r="O93" s="235"/>
      <c r="P93" s="235"/>
      <c r="Q93" s="235"/>
      <c r="R93" s="235"/>
      <c r="S93" s="235"/>
      <c r="T93" s="235"/>
      <c r="U93" s="235"/>
      <c r="V93" s="235"/>
      <c r="W93" s="235"/>
      <c r="X93" s="235"/>
      <c r="Y93" s="235"/>
      <c r="Z93" s="235"/>
    </row>
    <row r="94">
      <c r="A94" s="92"/>
      <c r="B94" s="92"/>
      <c r="C94" s="92"/>
      <c r="D94" s="224" t="s">
        <v>908</v>
      </c>
      <c r="E94" s="92"/>
      <c r="F94" s="92"/>
      <c r="G94" s="92"/>
      <c r="H94" s="92"/>
      <c r="I94" s="92"/>
      <c r="J94" s="92"/>
      <c r="K94" s="92"/>
      <c r="L94" s="235"/>
      <c r="M94" s="235"/>
      <c r="N94" s="235"/>
      <c r="O94" s="235"/>
      <c r="P94" s="235"/>
      <c r="Q94" s="235"/>
      <c r="R94" s="235"/>
      <c r="S94" s="235"/>
      <c r="T94" s="235"/>
      <c r="U94" s="235"/>
      <c r="V94" s="235"/>
      <c r="W94" s="235"/>
      <c r="X94" s="235"/>
      <c r="Y94" s="235"/>
      <c r="Z94" s="235"/>
    </row>
    <row r="95">
      <c r="A95" s="21"/>
      <c r="B95" s="21"/>
      <c r="C95" s="21"/>
      <c r="D95" s="224" t="s">
        <v>986</v>
      </c>
      <c r="E95" s="21"/>
      <c r="F95" s="21"/>
      <c r="G95" s="21"/>
      <c r="H95" s="21"/>
      <c r="I95" s="21"/>
      <c r="J95" s="21"/>
      <c r="K95" s="21"/>
      <c r="L95" s="235"/>
      <c r="M95" s="235"/>
      <c r="N95" s="235"/>
      <c r="O95" s="235"/>
      <c r="P95" s="235"/>
      <c r="Q95" s="235"/>
      <c r="R95" s="235"/>
      <c r="S95" s="235"/>
      <c r="T95" s="235"/>
      <c r="U95" s="235"/>
      <c r="V95" s="235"/>
      <c r="W95" s="235"/>
      <c r="X95" s="235"/>
      <c r="Y95" s="235"/>
      <c r="Z95" s="235"/>
    </row>
    <row r="96">
      <c r="A96" s="225" t="s">
        <v>987</v>
      </c>
      <c r="B96" s="225" t="s">
        <v>988</v>
      </c>
      <c r="C96" s="225" t="s">
        <v>989</v>
      </c>
      <c r="D96" s="224" t="s">
        <v>880</v>
      </c>
      <c r="E96" s="225" t="s">
        <v>990</v>
      </c>
      <c r="F96" s="225" t="s">
        <v>991</v>
      </c>
      <c r="G96" s="225" t="s">
        <v>991</v>
      </c>
      <c r="H96" s="225" t="s">
        <v>935</v>
      </c>
      <c r="I96" s="225" t="s">
        <v>168</v>
      </c>
      <c r="J96" s="295">
        <v>46091.0</v>
      </c>
      <c r="K96" s="225"/>
      <c r="L96" s="235"/>
      <c r="M96" s="235"/>
      <c r="N96" s="235"/>
      <c r="O96" s="235"/>
      <c r="P96" s="235"/>
      <c r="Q96" s="235"/>
      <c r="R96" s="235"/>
      <c r="S96" s="235"/>
      <c r="T96" s="235"/>
      <c r="U96" s="235"/>
      <c r="V96" s="235"/>
      <c r="W96" s="235"/>
      <c r="X96" s="235"/>
      <c r="Y96" s="235"/>
      <c r="Z96" s="235"/>
    </row>
    <row r="97">
      <c r="A97" s="92"/>
      <c r="B97" s="92"/>
      <c r="C97" s="92"/>
      <c r="D97" s="224" t="s">
        <v>908</v>
      </c>
      <c r="E97" s="92"/>
      <c r="F97" s="92"/>
      <c r="G97" s="92"/>
      <c r="H97" s="92"/>
      <c r="I97" s="92"/>
      <c r="J97" s="92"/>
      <c r="K97" s="92"/>
      <c r="L97" s="235"/>
      <c r="M97" s="235"/>
      <c r="N97" s="235"/>
      <c r="O97" s="235"/>
      <c r="P97" s="235"/>
      <c r="Q97" s="235"/>
      <c r="R97" s="235"/>
      <c r="S97" s="235"/>
      <c r="T97" s="235"/>
      <c r="U97" s="235"/>
      <c r="V97" s="235"/>
      <c r="W97" s="235"/>
      <c r="X97" s="235"/>
      <c r="Y97" s="235"/>
      <c r="Z97" s="235"/>
    </row>
    <row r="98">
      <c r="A98" s="21"/>
      <c r="B98" s="21"/>
      <c r="C98" s="21"/>
      <c r="D98" s="224" t="s">
        <v>992</v>
      </c>
      <c r="E98" s="21"/>
      <c r="F98" s="21"/>
      <c r="G98" s="21"/>
      <c r="H98" s="21"/>
      <c r="I98" s="21"/>
      <c r="J98" s="21"/>
      <c r="K98" s="21"/>
      <c r="L98" s="235"/>
      <c r="M98" s="235"/>
      <c r="N98" s="235"/>
      <c r="O98" s="235"/>
      <c r="P98" s="235"/>
      <c r="Q98" s="235"/>
      <c r="R98" s="235"/>
      <c r="S98" s="235"/>
      <c r="T98" s="235"/>
      <c r="U98" s="235"/>
      <c r="V98" s="235"/>
      <c r="W98" s="235"/>
      <c r="X98" s="235"/>
      <c r="Y98" s="235"/>
      <c r="Z98" s="235"/>
    </row>
    <row r="99">
      <c r="A99" s="224" t="s">
        <v>993</v>
      </c>
      <c r="B99" s="224"/>
      <c r="C99" s="224"/>
      <c r="D99" s="224"/>
      <c r="E99" s="224"/>
      <c r="F99" s="224"/>
      <c r="G99" s="224"/>
      <c r="H99" s="224"/>
      <c r="I99" s="224"/>
      <c r="J99" s="224"/>
      <c r="K99" s="224"/>
      <c r="L99" s="235"/>
      <c r="M99" s="235"/>
      <c r="N99" s="235"/>
      <c r="O99" s="235"/>
      <c r="P99" s="235"/>
      <c r="Q99" s="235"/>
      <c r="R99" s="235"/>
      <c r="S99" s="235"/>
      <c r="T99" s="235"/>
      <c r="U99" s="235"/>
      <c r="V99" s="235"/>
      <c r="W99" s="235"/>
      <c r="X99" s="235"/>
      <c r="Y99" s="235"/>
      <c r="Z99" s="235"/>
    </row>
    <row r="100">
      <c r="A100" s="225" t="s">
        <v>994</v>
      </c>
      <c r="B100" s="225" t="s">
        <v>995</v>
      </c>
      <c r="C100" s="225" t="s">
        <v>996</v>
      </c>
      <c r="D100" s="224" t="s">
        <v>880</v>
      </c>
      <c r="E100" s="225" t="s">
        <v>941</v>
      </c>
      <c r="F100" s="225" t="s">
        <v>997</v>
      </c>
      <c r="G100" s="225" t="s">
        <v>997</v>
      </c>
      <c r="H100" s="225" t="s">
        <v>867</v>
      </c>
      <c r="I100" s="225" t="s">
        <v>168</v>
      </c>
      <c r="J100" s="295">
        <v>46091.0</v>
      </c>
      <c r="K100" s="225"/>
      <c r="L100" s="235"/>
      <c r="M100" s="235"/>
      <c r="N100" s="235"/>
      <c r="O100" s="235"/>
      <c r="P100" s="235"/>
      <c r="Q100" s="235"/>
      <c r="R100" s="235"/>
      <c r="S100" s="235"/>
      <c r="T100" s="235"/>
      <c r="U100" s="235"/>
      <c r="V100" s="235"/>
      <c r="W100" s="235"/>
      <c r="X100" s="235"/>
      <c r="Y100" s="235"/>
      <c r="Z100" s="235"/>
    </row>
    <row r="101">
      <c r="A101" s="92"/>
      <c r="B101" s="92"/>
      <c r="C101" s="92"/>
      <c r="D101" s="224" t="s">
        <v>908</v>
      </c>
      <c r="E101" s="92"/>
      <c r="F101" s="92"/>
      <c r="G101" s="92"/>
      <c r="H101" s="92"/>
      <c r="I101" s="92"/>
      <c r="J101" s="92"/>
      <c r="K101" s="92"/>
      <c r="L101" s="235"/>
      <c r="M101" s="235"/>
      <c r="N101" s="235"/>
      <c r="O101" s="235"/>
      <c r="P101" s="235"/>
      <c r="Q101" s="235"/>
      <c r="R101" s="235"/>
      <c r="S101" s="235"/>
      <c r="T101" s="235"/>
      <c r="U101" s="235"/>
      <c r="V101" s="235"/>
      <c r="W101" s="235"/>
      <c r="X101" s="235"/>
      <c r="Y101" s="235"/>
      <c r="Z101" s="235"/>
    </row>
    <row r="102">
      <c r="A102" s="92"/>
      <c r="B102" s="92"/>
      <c r="C102" s="92"/>
      <c r="D102" s="224" t="s">
        <v>998</v>
      </c>
      <c r="E102" s="92"/>
      <c r="F102" s="92"/>
      <c r="G102" s="92"/>
      <c r="H102" s="92"/>
      <c r="I102" s="92"/>
      <c r="J102" s="92"/>
      <c r="K102" s="92"/>
      <c r="L102" s="235"/>
      <c r="M102" s="235"/>
      <c r="N102" s="235"/>
      <c r="O102" s="235"/>
      <c r="P102" s="235"/>
      <c r="Q102" s="235"/>
      <c r="R102" s="235"/>
      <c r="S102" s="235"/>
      <c r="T102" s="235"/>
      <c r="U102" s="235"/>
      <c r="V102" s="235"/>
      <c r="W102" s="235"/>
      <c r="X102" s="235"/>
      <c r="Y102" s="235"/>
      <c r="Z102" s="235"/>
    </row>
    <row r="103">
      <c r="A103" s="21"/>
      <c r="B103" s="21"/>
      <c r="C103" s="21"/>
      <c r="D103" s="224" t="s">
        <v>999</v>
      </c>
      <c r="E103" s="21"/>
      <c r="F103" s="21"/>
      <c r="G103" s="21"/>
      <c r="H103" s="21"/>
      <c r="I103" s="21"/>
      <c r="J103" s="21"/>
      <c r="K103" s="21"/>
      <c r="L103" s="235"/>
      <c r="M103" s="235"/>
      <c r="N103" s="235"/>
      <c r="O103" s="235"/>
      <c r="P103" s="235"/>
      <c r="Q103" s="235"/>
      <c r="R103" s="235"/>
      <c r="S103" s="235"/>
      <c r="T103" s="235"/>
      <c r="U103" s="235"/>
      <c r="V103" s="235"/>
      <c r="W103" s="235"/>
      <c r="X103" s="235"/>
      <c r="Y103" s="235"/>
      <c r="Z103" s="235"/>
    </row>
    <row r="104">
      <c r="A104" s="225" t="s">
        <v>1000</v>
      </c>
      <c r="B104" s="225" t="s">
        <v>1001</v>
      </c>
      <c r="C104" s="225" t="s">
        <v>1002</v>
      </c>
      <c r="D104" s="224" t="s">
        <v>880</v>
      </c>
      <c r="E104" s="225" t="s">
        <v>1003</v>
      </c>
      <c r="F104" s="225" t="s">
        <v>1004</v>
      </c>
      <c r="G104" s="225" t="s">
        <v>1004</v>
      </c>
      <c r="H104" s="225" t="s">
        <v>717</v>
      </c>
      <c r="I104" s="225" t="s">
        <v>168</v>
      </c>
      <c r="J104" s="295">
        <v>46092.0</v>
      </c>
      <c r="K104" s="225"/>
      <c r="L104" s="235"/>
      <c r="M104" s="235"/>
      <c r="N104" s="235"/>
      <c r="O104" s="235"/>
      <c r="P104" s="235"/>
      <c r="Q104" s="235"/>
      <c r="R104" s="235"/>
      <c r="S104" s="235"/>
      <c r="T104" s="235"/>
      <c r="U104" s="235"/>
      <c r="V104" s="235"/>
      <c r="W104" s="235"/>
      <c r="X104" s="235"/>
      <c r="Y104" s="235"/>
      <c r="Z104" s="235"/>
    </row>
    <row r="105">
      <c r="A105" s="92"/>
      <c r="B105" s="92"/>
      <c r="C105" s="92"/>
      <c r="D105" s="224" t="s">
        <v>908</v>
      </c>
      <c r="E105" s="92"/>
      <c r="F105" s="92"/>
      <c r="G105" s="92"/>
      <c r="H105" s="92"/>
      <c r="I105" s="92"/>
      <c r="J105" s="92"/>
      <c r="K105" s="92"/>
      <c r="L105" s="235"/>
      <c r="M105" s="235"/>
      <c r="N105" s="235"/>
      <c r="O105" s="235"/>
      <c r="P105" s="235"/>
      <c r="Q105" s="235"/>
      <c r="R105" s="235"/>
      <c r="S105" s="235"/>
      <c r="T105" s="235"/>
      <c r="U105" s="235"/>
      <c r="V105" s="235"/>
      <c r="W105" s="235"/>
      <c r="X105" s="235"/>
      <c r="Y105" s="235"/>
      <c r="Z105" s="235"/>
    </row>
    <row r="106">
      <c r="A106" s="92"/>
      <c r="B106" s="92"/>
      <c r="C106" s="92"/>
      <c r="D106" s="224" t="s">
        <v>1005</v>
      </c>
      <c r="E106" s="92"/>
      <c r="F106" s="92"/>
      <c r="G106" s="92"/>
      <c r="H106" s="92"/>
      <c r="I106" s="92"/>
      <c r="J106" s="92"/>
      <c r="K106" s="92"/>
      <c r="L106" s="235"/>
      <c r="M106" s="235"/>
      <c r="N106" s="235"/>
      <c r="O106" s="235"/>
      <c r="P106" s="235"/>
      <c r="Q106" s="235"/>
      <c r="R106" s="235"/>
      <c r="S106" s="235"/>
      <c r="T106" s="235"/>
      <c r="U106" s="235"/>
      <c r="V106" s="235"/>
      <c r="W106" s="235"/>
      <c r="X106" s="235"/>
      <c r="Y106" s="235"/>
      <c r="Z106" s="235"/>
    </row>
    <row r="107">
      <c r="A107" s="21"/>
      <c r="B107" s="21"/>
      <c r="C107" s="21"/>
      <c r="D107" s="224" t="s">
        <v>999</v>
      </c>
      <c r="E107" s="21"/>
      <c r="F107" s="21"/>
      <c r="G107" s="21"/>
      <c r="H107" s="21"/>
      <c r="I107" s="21"/>
      <c r="J107" s="21"/>
      <c r="K107" s="21"/>
      <c r="L107" s="235"/>
      <c r="M107" s="235"/>
      <c r="N107" s="235"/>
      <c r="O107" s="235"/>
      <c r="P107" s="235"/>
      <c r="Q107" s="235"/>
      <c r="R107" s="235"/>
      <c r="S107" s="235"/>
      <c r="T107" s="235"/>
      <c r="U107" s="235"/>
      <c r="V107" s="235"/>
      <c r="W107" s="235"/>
      <c r="X107" s="235"/>
      <c r="Y107" s="235"/>
      <c r="Z107" s="235"/>
    </row>
    <row r="108">
      <c r="A108" s="224" t="s">
        <v>1006</v>
      </c>
      <c r="B108" s="224"/>
      <c r="C108" s="224"/>
      <c r="D108" s="224"/>
      <c r="E108" s="224"/>
      <c r="F108" s="224"/>
      <c r="G108" s="224"/>
      <c r="H108" s="224"/>
      <c r="I108" s="224"/>
      <c r="J108" s="224"/>
      <c r="K108" s="224"/>
      <c r="L108" s="235"/>
      <c r="M108" s="235"/>
      <c r="N108" s="235"/>
      <c r="O108" s="235"/>
      <c r="P108" s="235"/>
      <c r="Q108" s="235"/>
      <c r="R108" s="235"/>
      <c r="S108" s="235"/>
      <c r="T108" s="235"/>
      <c r="U108" s="235"/>
      <c r="V108" s="235"/>
      <c r="W108" s="235"/>
      <c r="X108" s="235"/>
      <c r="Y108" s="235"/>
      <c r="Z108" s="235"/>
    </row>
    <row r="109">
      <c r="A109" s="225" t="s">
        <v>1007</v>
      </c>
      <c r="B109" s="225" t="s">
        <v>1008</v>
      </c>
      <c r="C109" s="225" t="s">
        <v>1009</v>
      </c>
      <c r="D109" s="224" t="s">
        <v>1010</v>
      </c>
      <c r="E109" s="225" t="s">
        <v>1011</v>
      </c>
      <c r="F109" s="225" t="s">
        <v>1012</v>
      </c>
      <c r="G109" s="225" t="s">
        <v>1012</v>
      </c>
      <c r="H109" s="225" t="s">
        <v>1013</v>
      </c>
      <c r="I109" s="225" t="s">
        <v>168</v>
      </c>
      <c r="J109" s="295">
        <v>46092.0</v>
      </c>
      <c r="K109" s="225"/>
      <c r="L109" s="235"/>
      <c r="M109" s="235"/>
      <c r="N109" s="235"/>
      <c r="O109" s="235"/>
      <c r="P109" s="235"/>
      <c r="Q109" s="235"/>
      <c r="R109" s="235"/>
      <c r="S109" s="235"/>
      <c r="T109" s="235"/>
      <c r="U109" s="235"/>
      <c r="V109" s="235"/>
      <c r="W109" s="235"/>
      <c r="X109" s="235"/>
      <c r="Y109" s="235"/>
      <c r="Z109" s="235"/>
    </row>
    <row r="110">
      <c r="A110" s="92"/>
      <c r="B110" s="92"/>
      <c r="C110" s="92"/>
      <c r="D110" s="224" t="s">
        <v>1014</v>
      </c>
      <c r="E110" s="92"/>
      <c r="F110" s="92"/>
      <c r="G110" s="92"/>
      <c r="H110" s="92"/>
      <c r="I110" s="92"/>
      <c r="J110" s="92"/>
      <c r="K110" s="92"/>
      <c r="L110" s="235"/>
      <c r="M110" s="235"/>
      <c r="N110" s="235"/>
      <c r="O110" s="235"/>
      <c r="P110" s="235"/>
      <c r="Q110" s="235"/>
      <c r="R110" s="235"/>
      <c r="S110" s="235"/>
      <c r="T110" s="235"/>
      <c r="U110" s="235"/>
      <c r="V110" s="235"/>
      <c r="W110" s="235"/>
      <c r="X110" s="235"/>
      <c r="Y110" s="235"/>
      <c r="Z110" s="235"/>
    </row>
    <row r="111">
      <c r="A111" s="21"/>
      <c r="B111" s="21"/>
      <c r="C111" s="21"/>
      <c r="D111" s="224" t="s">
        <v>1015</v>
      </c>
      <c r="E111" s="21"/>
      <c r="F111" s="21"/>
      <c r="G111" s="21"/>
      <c r="H111" s="21"/>
      <c r="I111" s="21"/>
      <c r="J111" s="21"/>
      <c r="K111" s="21"/>
      <c r="L111" s="235"/>
      <c r="M111" s="235"/>
      <c r="N111" s="235"/>
      <c r="O111" s="235"/>
      <c r="P111" s="235"/>
      <c r="Q111" s="235"/>
      <c r="R111" s="235"/>
      <c r="S111" s="235"/>
      <c r="T111" s="235"/>
      <c r="U111" s="235"/>
      <c r="V111" s="235"/>
      <c r="W111" s="235"/>
      <c r="X111" s="235"/>
      <c r="Y111" s="235"/>
      <c r="Z111" s="235"/>
    </row>
    <row r="112">
      <c r="A112" s="225" t="s">
        <v>1016</v>
      </c>
      <c r="B112" s="225" t="s">
        <v>1017</v>
      </c>
      <c r="C112" s="225" t="s">
        <v>1018</v>
      </c>
      <c r="D112" s="224" t="s">
        <v>932</v>
      </c>
      <c r="E112" s="224" t="s">
        <v>1019</v>
      </c>
      <c r="F112" s="225" t="s">
        <v>1020</v>
      </c>
      <c r="G112" s="225" t="s">
        <v>1020</v>
      </c>
      <c r="H112" s="225" t="s">
        <v>935</v>
      </c>
      <c r="I112" s="225" t="s">
        <v>168</v>
      </c>
      <c r="J112" s="295">
        <v>46093.0</v>
      </c>
      <c r="K112" s="225"/>
      <c r="L112" s="235"/>
      <c r="M112" s="235"/>
      <c r="N112" s="235"/>
      <c r="O112" s="235"/>
      <c r="P112" s="235"/>
      <c r="Q112" s="235"/>
      <c r="R112" s="235"/>
      <c r="S112" s="235"/>
      <c r="T112" s="235"/>
      <c r="U112" s="235"/>
      <c r="V112" s="235"/>
      <c r="W112" s="235"/>
      <c r="X112" s="235"/>
      <c r="Y112" s="235"/>
      <c r="Z112" s="235"/>
    </row>
    <row r="113">
      <c r="A113" s="21"/>
      <c r="B113" s="21"/>
      <c r="C113" s="21"/>
      <c r="D113" s="224" t="s">
        <v>1021</v>
      </c>
      <c r="E113" s="224" t="s">
        <v>937</v>
      </c>
      <c r="F113" s="21"/>
      <c r="G113" s="21"/>
      <c r="H113" s="21"/>
      <c r="I113" s="21"/>
      <c r="J113" s="21"/>
      <c r="K113" s="21"/>
      <c r="L113" s="235"/>
      <c r="M113" s="235"/>
      <c r="N113" s="235"/>
      <c r="O113" s="235"/>
      <c r="P113" s="235"/>
      <c r="Q113" s="235"/>
      <c r="R113" s="235"/>
      <c r="S113" s="235"/>
      <c r="T113" s="235"/>
      <c r="U113" s="235"/>
      <c r="V113" s="235"/>
      <c r="W113" s="235"/>
      <c r="X113" s="235"/>
      <c r="Y113" s="235"/>
      <c r="Z113" s="235"/>
    </row>
    <row r="114">
      <c r="A114" s="225" t="s">
        <v>1022</v>
      </c>
      <c r="B114" s="225" t="s">
        <v>1023</v>
      </c>
      <c r="C114" s="225" t="s">
        <v>1024</v>
      </c>
      <c r="D114" s="224" t="s">
        <v>1025</v>
      </c>
      <c r="E114" s="225" t="s">
        <v>1026</v>
      </c>
      <c r="F114" s="225" t="s">
        <v>1027</v>
      </c>
      <c r="G114" s="225" t="s">
        <v>1027</v>
      </c>
      <c r="H114" s="225" t="s">
        <v>1028</v>
      </c>
      <c r="I114" s="225" t="s">
        <v>168</v>
      </c>
      <c r="J114" s="295">
        <v>46093.0</v>
      </c>
      <c r="K114" s="225"/>
      <c r="L114" s="235"/>
      <c r="M114" s="235"/>
      <c r="N114" s="235"/>
      <c r="O114" s="235"/>
      <c r="P114" s="235"/>
      <c r="Q114" s="235"/>
      <c r="R114" s="235"/>
      <c r="S114" s="235"/>
      <c r="T114" s="235"/>
      <c r="U114" s="235"/>
      <c r="V114" s="235"/>
      <c r="W114" s="235"/>
      <c r="X114" s="235"/>
      <c r="Y114" s="235"/>
      <c r="Z114" s="235"/>
    </row>
    <row r="115">
      <c r="A115" s="21"/>
      <c r="B115" s="21"/>
      <c r="C115" s="21"/>
      <c r="D115" s="224" t="s">
        <v>1029</v>
      </c>
      <c r="E115" s="21"/>
      <c r="F115" s="21"/>
      <c r="G115" s="21"/>
      <c r="H115" s="21"/>
      <c r="I115" s="21"/>
      <c r="J115" s="21"/>
      <c r="K115" s="21"/>
      <c r="L115" s="235"/>
      <c r="M115" s="235"/>
      <c r="N115" s="235"/>
      <c r="O115" s="235"/>
      <c r="P115" s="235"/>
      <c r="Q115" s="235"/>
      <c r="R115" s="235"/>
      <c r="S115" s="235"/>
      <c r="T115" s="235"/>
      <c r="U115" s="235"/>
      <c r="V115" s="235"/>
      <c r="W115" s="235"/>
      <c r="X115" s="235"/>
      <c r="Y115" s="235"/>
      <c r="Z115" s="235"/>
    </row>
    <row r="116">
      <c r="A116" s="225" t="s">
        <v>1030</v>
      </c>
      <c r="B116" s="225" t="s">
        <v>1031</v>
      </c>
      <c r="C116" s="225" t="s">
        <v>1032</v>
      </c>
      <c r="D116" s="224" t="s">
        <v>924</v>
      </c>
      <c r="E116" s="225" t="s">
        <v>925</v>
      </c>
      <c r="F116" s="225" t="s">
        <v>1033</v>
      </c>
      <c r="G116" s="225" t="s">
        <v>1033</v>
      </c>
      <c r="H116" s="225" t="s">
        <v>927</v>
      </c>
      <c r="I116" s="225" t="s">
        <v>168</v>
      </c>
      <c r="J116" s="295">
        <v>46094.0</v>
      </c>
      <c r="K116" s="225"/>
      <c r="L116" s="235"/>
      <c r="M116" s="235"/>
      <c r="N116" s="235"/>
      <c r="O116" s="235"/>
      <c r="P116" s="235"/>
      <c r="Q116" s="235"/>
      <c r="R116" s="235"/>
      <c r="S116" s="235"/>
      <c r="T116" s="235"/>
      <c r="U116" s="235"/>
      <c r="V116" s="235"/>
      <c r="W116" s="235"/>
      <c r="X116" s="235"/>
      <c r="Y116" s="235"/>
      <c r="Z116" s="235"/>
    </row>
    <row r="117">
      <c r="A117" s="21"/>
      <c r="B117" s="21"/>
      <c r="C117" s="21"/>
      <c r="D117" s="224" t="s">
        <v>1034</v>
      </c>
      <c r="E117" s="21"/>
      <c r="F117" s="21"/>
      <c r="G117" s="21"/>
      <c r="H117" s="21"/>
      <c r="I117" s="21"/>
      <c r="J117" s="21"/>
      <c r="K117" s="21"/>
      <c r="L117" s="235"/>
      <c r="M117" s="235"/>
      <c r="N117" s="235"/>
      <c r="O117" s="235"/>
      <c r="P117" s="235"/>
      <c r="Q117" s="235"/>
      <c r="R117" s="235"/>
      <c r="S117" s="235"/>
      <c r="T117" s="235"/>
      <c r="U117" s="235"/>
      <c r="V117" s="235"/>
      <c r="W117" s="235"/>
      <c r="X117" s="235"/>
      <c r="Y117" s="235"/>
      <c r="Z117" s="235"/>
    </row>
    <row r="118">
      <c r="A118" s="224" t="s">
        <v>1035</v>
      </c>
      <c r="B118" s="224"/>
      <c r="C118" s="224"/>
      <c r="D118" s="224"/>
      <c r="E118" s="224"/>
      <c r="F118" s="224"/>
      <c r="G118" s="224"/>
      <c r="H118" s="224"/>
      <c r="I118" s="224"/>
      <c r="J118" s="224"/>
      <c r="K118" s="224"/>
      <c r="L118" s="235"/>
      <c r="M118" s="235"/>
      <c r="N118" s="235"/>
      <c r="O118" s="235"/>
      <c r="P118" s="235"/>
      <c r="Q118" s="235"/>
      <c r="R118" s="235"/>
      <c r="S118" s="235"/>
      <c r="T118" s="235"/>
      <c r="U118" s="235"/>
      <c r="V118" s="235"/>
      <c r="W118" s="235"/>
      <c r="X118" s="235"/>
      <c r="Y118" s="235"/>
      <c r="Z118" s="235"/>
    </row>
    <row r="119">
      <c r="A119" s="225" t="s">
        <v>1036</v>
      </c>
      <c r="B119" s="225" t="s">
        <v>1037</v>
      </c>
      <c r="C119" s="225" t="s">
        <v>1038</v>
      </c>
      <c r="D119" s="224" t="s">
        <v>1039</v>
      </c>
      <c r="E119" s="224" t="s">
        <v>1040</v>
      </c>
      <c r="F119" s="225" t="s">
        <v>1041</v>
      </c>
      <c r="G119" s="225" t="s">
        <v>1041</v>
      </c>
      <c r="H119" s="225" t="s">
        <v>1042</v>
      </c>
      <c r="I119" s="225" t="s">
        <v>168</v>
      </c>
      <c r="J119" s="295">
        <v>46094.0</v>
      </c>
      <c r="K119" s="225"/>
      <c r="L119" s="235"/>
      <c r="M119" s="235"/>
      <c r="N119" s="235"/>
      <c r="O119" s="235"/>
      <c r="P119" s="235"/>
      <c r="Q119" s="235"/>
      <c r="R119" s="235"/>
      <c r="S119" s="235"/>
      <c r="T119" s="235"/>
      <c r="U119" s="235"/>
      <c r="V119" s="235"/>
      <c r="W119" s="235"/>
      <c r="X119" s="235"/>
      <c r="Y119" s="235"/>
      <c r="Z119" s="235"/>
    </row>
    <row r="120">
      <c r="A120" s="92"/>
      <c r="B120" s="92"/>
      <c r="C120" s="92"/>
      <c r="D120" s="224" t="s">
        <v>1043</v>
      </c>
      <c r="E120" s="224" t="s">
        <v>1044</v>
      </c>
      <c r="F120" s="92"/>
      <c r="G120" s="92"/>
      <c r="H120" s="92"/>
      <c r="I120" s="92"/>
      <c r="J120" s="92"/>
      <c r="K120" s="92"/>
      <c r="L120" s="235"/>
      <c r="M120" s="235"/>
      <c r="N120" s="235"/>
      <c r="O120" s="235"/>
      <c r="P120" s="235"/>
      <c r="Q120" s="235"/>
      <c r="R120" s="235"/>
      <c r="S120" s="235"/>
      <c r="T120" s="235"/>
      <c r="U120" s="235"/>
      <c r="V120" s="235"/>
      <c r="W120" s="235"/>
      <c r="X120" s="235"/>
      <c r="Y120" s="235"/>
      <c r="Z120" s="235"/>
    </row>
    <row r="121">
      <c r="A121" s="92"/>
      <c r="B121" s="92"/>
      <c r="C121" s="92"/>
      <c r="D121" s="224" t="s">
        <v>1045</v>
      </c>
      <c r="E121" s="224"/>
      <c r="F121" s="92"/>
      <c r="G121" s="92"/>
      <c r="H121" s="92"/>
      <c r="I121" s="92"/>
      <c r="J121" s="92"/>
      <c r="K121" s="92"/>
      <c r="L121" s="235"/>
      <c r="M121" s="235"/>
      <c r="N121" s="235"/>
      <c r="O121" s="235"/>
      <c r="P121" s="235"/>
      <c r="Q121" s="235"/>
      <c r="R121" s="235"/>
      <c r="S121" s="235"/>
      <c r="T121" s="235"/>
      <c r="U121" s="235"/>
      <c r="V121" s="235"/>
      <c r="W121" s="235"/>
      <c r="X121" s="235"/>
      <c r="Y121" s="235"/>
      <c r="Z121" s="235"/>
    </row>
    <row r="122">
      <c r="A122" s="21"/>
      <c r="B122" s="21"/>
      <c r="C122" s="21"/>
      <c r="D122" s="224" t="s">
        <v>1046</v>
      </c>
      <c r="E122" s="224"/>
      <c r="F122" s="21"/>
      <c r="G122" s="21"/>
      <c r="H122" s="21"/>
      <c r="I122" s="21"/>
      <c r="J122" s="21"/>
      <c r="K122" s="21"/>
      <c r="L122" s="235"/>
      <c r="M122" s="235"/>
      <c r="N122" s="235"/>
      <c r="O122" s="235"/>
      <c r="P122" s="235"/>
      <c r="Q122" s="235"/>
      <c r="R122" s="235"/>
      <c r="S122" s="235"/>
      <c r="T122" s="235"/>
      <c r="U122" s="235"/>
      <c r="V122" s="235"/>
      <c r="W122" s="235"/>
      <c r="X122" s="235"/>
      <c r="Y122" s="235"/>
      <c r="Z122" s="235"/>
    </row>
    <row r="123">
      <c r="A123" s="225" t="s">
        <v>1047</v>
      </c>
      <c r="B123" s="225" t="s">
        <v>1048</v>
      </c>
      <c r="C123" s="225" t="s">
        <v>1049</v>
      </c>
      <c r="D123" s="224" t="s">
        <v>1050</v>
      </c>
      <c r="E123" s="224" t="s">
        <v>1051</v>
      </c>
      <c r="F123" s="225" t="s">
        <v>1052</v>
      </c>
      <c r="G123" s="225" t="s">
        <v>1052</v>
      </c>
      <c r="H123" s="225" t="s">
        <v>867</v>
      </c>
      <c r="I123" s="225" t="s">
        <v>168</v>
      </c>
      <c r="J123" s="295">
        <v>46095.0</v>
      </c>
      <c r="K123" s="225"/>
      <c r="L123" s="235"/>
      <c r="M123" s="235"/>
      <c r="N123" s="235"/>
      <c r="O123" s="235"/>
      <c r="P123" s="235"/>
      <c r="Q123" s="235"/>
      <c r="R123" s="235"/>
      <c r="S123" s="235"/>
      <c r="T123" s="235"/>
      <c r="U123" s="235"/>
      <c r="V123" s="235"/>
      <c r="W123" s="235"/>
      <c r="X123" s="235"/>
      <c r="Y123" s="235"/>
      <c r="Z123" s="235"/>
    </row>
    <row r="124">
      <c r="A124" s="92"/>
      <c r="B124" s="92"/>
      <c r="C124" s="92"/>
      <c r="D124" s="224" t="s">
        <v>1053</v>
      </c>
      <c r="E124" s="224" t="s">
        <v>1054</v>
      </c>
      <c r="F124" s="92"/>
      <c r="G124" s="92"/>
      <c r="H124" s="92"/>
      <c r="I124" s="92"/>
      <c r="J124" s="92"/>
      <c r="K124" s="92"/>
      <c r="L124" s="235"/>
      <c r="M124" s="235"/>
      <c r="N124" s="235"/>
      <c r="O124" s="235"/>
      <c r="P124" s="235"/>
      <c r="Q124" s="235"/>
      <c r="R124" s="235"/>
      <c r="S124" s="235"/>
      <c r="T124" s="235"/>
      <c r="U124" s="235"/>
      <c r="V124" s="235"/>
      <c r="W124" s="235"/>
      <c r="X124" s="235"/>
      <c r="Y124" s="235"/>
      <c r="Z124" s="235"/>
    </row>
    <row r="125">
      <c r="A125" s="21"/>
      <c r="B125" s="21"/>
      <c r="C125" s="21"/>
      <c r="D125" s="224" t="s">
        <v>1055</v>
      </c>
      <c r="E125" s="224"/>
      <c r="F125" s="21"/>
      <c r="G125" s="21"/>
      <c r="H125" s="21"/>
      <c r="I125" s="21"/>
      <c r="J125" s="21"/>
      <c r="K125" s="21"/>
      <c r="L125" s="235"/>
      <c r="M125" s="235"/>
      <c r="N125" s="235"/>
      <c r="O125" s="235"/>
      <c r="P125" s="235"/>
      <c r="Q125" s="235"/>
      <c r="R125" s="235"/>
      <c r="S125" s="235"/>
      <c r="T125" s="235"/>
      <c r="U125" s="235"/>
      <c r="V125" s="235"/>
      <c r="W125" s="235"/>
      <c r="X125" s="235"/>
      <c r="Y125" s="235"/>
      <c r="Z125" s="235"/>
    </row>
    <row r="126">
      <c r="A126" s="225" t="s">
        <v>1056</v>
      </c>
      <c r="B126" s="225" t="s">
        <v>1057</v>
      </c>
      <c r="C126" s="225" t="s">
        <v>1058</v>
      </c>
      <c r="D126" s="224" t="s">
        <v>1059</v>
      </c>
      <c r="E126" s="225" t="s">
        <v>1060</v>
      </c>
      <c r="F126" s="225" t="s">
        <v>1061</v>
      </c>
      <c r="G126" s="225" t="s">
        <v>1061</v>
      </c>
      <c r="H126" s="225" t="s">
        <v>935</v>
      </c>
      <c r="I126" s="225" t="s">
        <v>168</v>
      </c>
      <c r="J126" s="295">
        <v>46095.0</v>
      </c>
      <c r="K126" s="225"/>
      <c r="L126" s="235"/>
      <c r="M126" s="235"/>
      <c r="N126" s="235"/>
      <c r="O126" s="235"/>
      <c r="P126" s="235"/>
      <c r="Q126" s="235"/>
      <c r="R126" s="235"/>
      <c r="S126" s="235"/>
      <c r="T126" s="235"/>
      <c r="U126" s="235"/>
      <c r="V126" s="235"/>
      <c r="W126" s="235"/>
      <c r="X126" s="235"/>
      <c r="Y126" s="235"/>
      <c r="Z126" s="235"/>
    </row>
    <row r="127">
      <c r="A127" s="92"/>
      <c r="B127" s="92"/>
      <c r="C127" s="92"/>
      <c r="D127" s="224" t="s">
        <v>1062</v>
      </c>
      <c r="E127" s="92"/>
      <c r="F127" s="92"/>
      <c r="G127" s="92"/>
      <c r="H127" s="92"/>
      <c r="I127" s="92"/>
      <c r="J127" s="92"/>
      <c r="K127" s="92"/>
      <c r="L127" s="235"/>
      <c r="M127" s="235"/>
      <c r="N127" s="235"/>
      <c r="O127" s="235"/>
      <c r="P127" s="235"/>
      <c r="Q127" s="235"/>
      <c r="R127" s="235"/>
      <c r="S127" s="235"/>
      <c r="T127" s="235"/>
      <c r="U127" s="235"/>
      <c r="V127" s="235"/>
      <c r="W127" s="235"/>
      <c r="X127" s="235"/>
      <c r="Y127" s="235"/>
      <c r="Z127" s="235"/>
    </row>
    <row r="128">
      <c r="A128" s="21"/>
      <c r="B128" s="21"/>
      <c r="C128" s="21"/>
      <c r="D128" s="224" t="s">
        <v>1055</v>
      </c>
      <c r="E128" s="21"/>
      <c r="F128" s="21"/>
      <c r="G128" s="21"/>
      <c r="H128" s="21"/>
      <c r="I128" s="21"/>
      <c r="J128" s="21"/>
      <c r="K128" s="21"/>
      <c r="L128" s="235"/>
      <c r="M128" s="235"/>
      <c r="N128" s="235"/>
      <c r="O128" s="235"/>
      <c r="P128" s="235"/>
      <c r="Q128" s="235"/>
      <c r="R128" s="235"/>
      <c r="S128" s="235"/>
      <c r="T128" s="235"/>
      <c r="U128" s="235"/>
      <c r="V128" s="235"/>
      <c r="W128" s="235"/>
      <c r="X128" s="235"/>
      <c r="Y128" s="235"/>
      <c r="Z128" s="235"/>
    </row>
    <row r="129">
      <c r="A129" s="225" t="s">
        <v>1063</v>
      </c>
      <c r="B129" s="225" t="s">
        <v>1064</v>
      </c>
      <c r="C129" s="225" t="s">
        <v>1065</v>
      </c>
      <c r="D129" s="224" t="s">
        <v>1066</v>
      </c>
      <c r="E129" s="225" t="s">
        <v>1067</v>
      </c>
      <c r="F129" s="225" t="s">
        <v>1068</v>
      </c>
      <c r="G129" s="225" t="s">
        <v>1068</v>
      </c>
      <c r="H129" s="225" t="s">
        <v>1069</v>
      </c>
      <c r="I129" s="225" t="s">
        <v>168</v>
      </c>
      <c r="J129" s="295">
        <v>46096.0</v>
      </c>
      <c r="K129" s="225"/>
      <c r="L129" s="235"/>
      <c r="M129" s="235"/>
      <c r="N129" s="235"/>
      <c r="O129" s="235"/>
      <c r="P129" s="235"/>
      <c r="Q129" s="235"/>
      <c r="R129" s="235"/>
      <c r="S129" s="235"/>
      <c r="T129" s="235"/>
      <c r="U129" s="235"/>
      <c r="V129" s="235"/>
      <c r="W129" s="235"/>
      <c r="X129" s="235"/>
      <c r="Y129" s="235"/>
      <c r="Z129" s="235"/>
    </row>
    <row r="130">
      <c r="A130" s="92"/>
      <c r="B130" s="92"/>
      <c r="C130" s="92"/>
      <c r="D130" s="224" t="s">
        <v>1070</v>
      </c>
      <c r="E130" s="92"/>
      <c r="F130" s="92"/>
      <c r="G130" s="92"/>
      <c r="H130" s="92"/>
      <c r="I130" s="92"/>
      <c r="J130" s="92"/>
      <c r="K130" s="92"/>
      <c r="L130" s="235"/>
      <c r="M130" s="235"/>
      <c r="N130" s="235"/>
      <c r="O130" s="235"/>
      <c r="P130" s="235"/>
      <c r="Q130" s="235"/>
      <c r="R130" s="235"/>
      <c r="S130" s="235"/>
      <c r="T130" s="235"/>
      <c r="U130" s="235"/>
      <c r="V130" s="235"/>
      <c r="W130" s="235"/>
      <c r="X130" s="235"/>
      <c r="Y130" s="235"/>
      <c r="Z130" s="235"/>
    </row>
    <row r="131">
      <c r="A131" s="21"/>
      <c r="B131" s="21"/>
      <c r="C131" s="21"/>
      <c r="D131" s="224" t="s">
        <v>1071</v>
      </c>
      <c r="E131" s="21"/>
      <c r="F131" s="21"/>
      <c r="G131" s="21"/>
      <c r="H131" s="21"/>
      <c r="I131" s="21"/>
      <c r="J131" s="21"/>
      <c r="K131" s="21"/>
      <c r="L131" s="235"/>
      <c r="M131" s="235"/>
      <c r="N131" s="235"/>
      <c r="O131" s="235"/>
      <c r="P131" s="235"/>
      <c r="Q131" s="235"/>
      <c r="R131" s="235"/>
      <c r="S131" s="235"/>
      <c r="T131" s="235"/>
      <c r="U131" s="235"/>
      <c r="V131" s="235"/>
      <c r="W131" s="235"/>
      <c r="X131" s="235"/>
      <c r="Y131" s="235"/>
      <c r="Z131" s="235"/>
    </row>
    <row r="132">
      <c r="A132" s="225" t="s">
        <v>1072</v>
      </c>
      <c r="B132" s="225" t="s">
        <v>1073</v>
      </c>
      <c r="C132" s="225" t="s">
        <v>1074</v>
      </c>
      <c r="D132" s="224" t="s">
        <v>1059</v>
      </c>
      <c r="E132" s="225" t="s">
        <v>1075</v>
      </c>
      <c r="F132" s="225" t="s">
        <v>1076</v>
      </c>
      <c r="G132" s="225" t="s">
        <v>1076</v>
      </c>
      <c r="H132" s="225" t="s">
        <v>717</v>
      </c>
      <c r="I132" s="225" t="s">
        <v>168</v>
      </c>
      <c r="J132" s="295">
        <v>46096.0</v>
      </c>
      <c r="K132" s="225"/>
      <c r="L132" s="235"/>
      <c r="M132" s="235"/>
      <c r="N132" s="235"/>
      <c r="O132" s="235"/>
      <c r="P132" s="235"/>
      <c r="Q132" s="235"/>
      <c r="R132" s="235"/>
      <c r="S132" s="235"/>
      <c r="T132" s="235"/>
      <c r="U132" s="235"/>
      <c r="V132" s="235"/>
      <c r="W132" s="235"/>
      <c r="X132" s="235"/>
      <c r="Y132" s="235"/>
      <c r="Z132" s="235"/>
    </row>
    <row r="133">
      <c r="A133" s="92"/>
      <c r="B133" s="92"/>
      <c r="C133" s="92"/>
      <c r="D133" s="224" t="s">
        <v>1077</v>
      </c>
      <c r="E133" s="92"/>
      <c r="F133" s="92"/>
      <c r="G133" s="92"/>
      <c r="H133" s="92"/>
      <c r="I133" s="92"/>
      <c r="J133" s="92"/>
      <c r="K133" s="92"/>
      <c r="L133" s="235"/>
      <c r="M133" s="235"/>
      <c r="N133" s="235"/>
      <c r="O133" s="235"/>
      <c r="P133" s="235"/>
      <c r="Q133" s="235"/>
      <c r="R133" s="235"/>
      <c r="S133" s="235"/>
      <c r="T133" s="235"/>
      <c r="U133" s="235"/>
      <c r="V133" s="235"/>
      <c r="W133" s="235"/>
      <c r="X133" s="235"/>
      <c r="Y133" s="235"/>
      <c r="Z133" s="235"/>
    </row>
    <row r="134">
      <c r="A134" s="21"/>
      <c r="B134" s="21"/>
      <c r="C134" s="21"/>
      <c r="D134" s="224" t="s">
        <v>1055</v>
      </c>
      <c r="E134" s="21"/>
      <c r="F134" s="21"/>
      <c r="G134" s="21"/>
      <c r="H134" s="21"/>
      <c r="I134" s="21"/>
      <c r="J134" s="21"/>
      <c r="K134" s="21"/>
      <c r="L134" s="235"/>
      <c r="M134" s="235"/>
      <c r="N134" s="235"/>
      <c r="O134" s="235"/>
      <c r="P134" s="235"/>
      <c r="Q134" s="235"/>
      <c r="R134" s="235"/>
      <c r="S134" s="235"/>
      <c r="T134" s="235"/>
      <c r="U134" s="235"/>
      <c r="V134" s="235"/>
      <c r="W134" s="235"/>
      <c r="X134" s="235"/>
      <c r="Y134" s="235"/>
      <c r="Z134" s="235"/>
    </row>
    <row r="135">
      <c r="A135" s="224" t="s">
        <v>1078</v>
      </c>
      <c r="B135" s="224" t="s">
        <v>1079</v>
      </c>
      <c r="C135" s="224" t="s">
        <v>1080</v>
      </c>
      <c r="D135" s="224" t="s">
        <v>1081</v>
      </c>
      <c r="E135" s="224" t="s">
        <v>941</v>
      </c>
      <c r="F135" s="224" t="s">
        <v>1082</v>
      </c>
      <c r="G135" s="224" t="s">
        <v>1082</v>
      </c>
      <c r="H135" s="224" t="s">
        <v>867</v>
      </c>
      <c r="I135" s="224" t="s">
        <v>168</v>
      </c>
      <c r="J135" s="226">
        <v>46097.0</v>
      </c>
      <c r="K135" s="224"/>
      <c r="L135" s="235"/>
      <c r="M135" s="235"/>
      <c r="N135" s="235"/>
      <c r="O135" s="235"/>
      <c r="P135" s="235"/>
      <c r="Q135" s="235"/>
      <c r="R135" s="235"/>
      <c r="S135" s="235"/>
      <c r="T135" s="235"/>
      <c r="U135" s="235"/>
      <c r="V135" s="235"/>
      <c r="W135" s="235"/>
      <c r="X135" s="235"/>
      <c r="Y135" s="235"/>
      <c r="Z135" s="235"/>
    </row>
    <row r="136" ht="12.75" customHeight="1">
      <c r="A136" s="296"/>
      <c r="B136" s="6"/>
      <c r="C136" s="6"/>
      <c r="D136" s="6"/>
      <c r="E136" s="6"/>
      <c r="F136" s="6"/>
      <c r="G136" s="6"/>
      <c r="H136" s="6"/>
      <c r="I136" s="6"/>
      <c r="J136" s="7"/>
      <c r="K136" s="143"/>
      <c r="L136" s="235"/>
      <c r="M136" s="235"/>
      <c r="N136" s="235"/>
      <c r="O136" s="235"/>
      <c r="P136" s="235"/>
      <c r="Q136" s="235"/>
      <c r="R136" s="235"/>
      <c r="S136" s="235"/>
      <c r="T136" s="235"/>
      <c r="U136" s="235"/>
      <c r="V136" s="235"/>
      <c r="W136" s="235"/>
      <c r="X136" s="235"/>
      <c r="Y136" s="235"/>
      <c r="Z136" s="235"/>
    </row>
    <row r="137" ht="12.75" customHeight="1">
      <c r="A137" s="230" t="s">
        <v>1083</v>
      </c>
      <c r="B137" s="230"/>
      <c r="C137" s="230"/>
      <c r="D137" s="230"/>
      <c r="E137" s="230"/>
      <c r="F137" s="230"/>
      <c r="G137" s="230"/>
      <c r="H137" s="230"/>
      <c r="I137" s="230"/>
      <c r="J137" s="230"/>
      <c r="K137" s="230"/>
      <c r="L137" s="235"/>
      <c r="M137" s="235"/>
      <c r="N137" s="235"/>
      <c r="O137" s="235"/>
      <c r="P137" s="235"/>
      <c r="Q137" s="235"/>
      <c r="R137" s="235"/>
      <c r="S137" s="235"/>
      <c r="T137" s="235"/>
      <c r="U137" s="235"/>
      <c r="V137" s="235"/>
      <c r="W137" s="235"/>
      <c r="X137" s="235"/>
      <c r="Y137" s="235"/>
      <c r="Z137" s="235"/>
    </row>
    <row r="138" ht="12.75" customHeight="1">
      <c r="A138" s="231" t="s">
        <v>1084</v>
      </c>
      <c r="B138" s="231" t="s">
        <v>1085</v>
      </c>
      <c r="C138" s="231" t="s">
        <v>1086</v>
      </c>
      <c r="D138" s="230" t="s">
        <v>880</v>
      </c>
      <c r="E138" s="231" t="s">
        <v>1087</v>
      </c>
      <c r="F138" s="231" t="s">
        <v>1088</v>
      </c>
      <c r="G138" s="231"/>
      <c r="H138" s="231" t="s">
        <v>1089</v>
      </c>
      <c r="I138" s="231" t="s">
        <v>168</v>
      </c>
      <c r="J138" s="297">
        <v>46106.0</v>
      </c>
      <c r="K138" s="231"/>
      <c r="L138" s="235"/>
      <c r="M138" s="235"/>
      <c r="N138" s="235"/>
      <c r="O138" s="235"/>
      <c r="P138" s="235"/>
      <c r="Q138" s="235"/>
      <c r="R138" s="235"/>
      <c r="S138" s="235"/>
      <c r="T138" s="235"/>
      <c r="U138" s="235"/>
      <c r="V138" s="235"/>
      <c r="W138" s="235"/>
      <c r="X138" s="235"/>
      <c r="Y138" s="235"/>
      <c r="Z138" s="235"/>
    </row>
    <row r="139" ht="12.75" customHeight="1">
      <c r="A139" s="92"/>
      <c r="B139" s="92"/>
      <c r="C139" s="92"/>
      <c r="D139" s="230" t="s">
        <v>1090</v>
      </c>
      <c r="E139" s="92"/>
      <c r="F139" s="92"/>
      <c r="G139" s="92"/>
      <c r="H139" s="92"/>
      <c r="I139" s="92"/>
      <c r="J139" s="92"/>
      <c r="K139" s="92"/>
      <c r="L139" s="235"/>
      <c r="M139" s="235"/>
      <c r="N139" s="235"/>
      <c r="O139" s="235"/>
      <c r="P139" s="235"/>
      <c r="Q139" s="235"/>
      <c r="R139" s="235"/>
      <c r="S139" s="235"/>
      <c r="T139" s="235"/>
      <c r="U139" s="235"/>
      <c r="V139" s="235"/>
      <c r="W139" s="235"/>
      <c r="X139" s="235"/>
      <c r="Y139" s="235"/>
      <c r="Z139" s="235"/>
    </row>
    <row r="140" ht="12.75" customHeight="1">
      <c r="A140" s="92"/>
      <c r="B140" s="92"/>
      <c r="C140" s="92"/>
      <c r="D140" s="230" t="s">
        <v>1091</v>
      </c>
      <c r="E140" s="92"/>
      <c r="F140" s="92"/>
      <c r="G140" s="92"/>
      <c r="H140" s="92"/>
      <c r="I140" s="92"/>
      <c r="J140" s="92"/>
      <c r="K140" s="92"/>
      <c r="L140" s="235"/>
      <c r="M140" s="235"/>
      <c r="N140" s="235"/>
      <c r="O140" s="235"/>
      <c r="P140" s="235"/>
      <c r="Q140" s="235"/>
      <c r="R140" s="235"/>
      <c r="S140" s="235"/>
      <c r="T140" s="235"/>
      <c r="U140" s="235"/>
      <c r="V140" s="235"/>
      <c r="W140" s="235"/>
      <c r="X140" s="235"/>
      <c r="Y140" s="235"/>
      <c r="Z140" s="235"/>
    </row>
    <row r="141" ht="12.75" customHeight="1">
      <c r="A141" s="21"/>
      <c r="B141" s="21"/>
      <c r="C141" s="21"/>
      <c r="D141" s="230" t="s">
        <v>1092</v>
      </c>
      <c r="E141" s="21"/>
      <c r="F141" s="21"/>
      <c r="G141" s="21"/>
      <c r="H141" s="21"/>
      <c r="I141" s="21"/>
      <c r="J141" s="21"/>
      <c r="K141" s="21"/>
      <c r="L141" s="235"/>
      <c r="M141" s="235"/>
      <c r="N141" s="235"/>
      <c r="O141" s="235"/>
      <c r="P141" s="235"/>
      <c r="Q141" s="235"/>
      <c r="R141" s="235"/>
      <c r="S141" s="235"/>
      <c r="T141" s="235"/>
      <c r="U141" s="235"/>
      <c r="V141" s="235"/>
      <c r="W141" s="235"/>
      <c r="X141" s="235"/>
      <c r="Y141" s="235"/>
      <c r="Z141" s="235"/>
    </row>
    <row r="142" ht="12.75" customHeight="1">
      <c r="A142" s="231" t="s">
        <v>1093</v>
      </c>
      <c r="B142" s="231" t="s">
        <v>1094</v>
      </c>
      <c r="C142" s="231" t="s">
        <v>1095</v>
      </c>
      <c r="D142" s="230" t="s">
        <v>1096</v>
      </c>
      <c r="E142" s="231" t="s">
        <v>1097</v>
      </c>
      <c r="F142" s="231" t="s">
        <v>1098</v>
      </c>
      <c r="G142" s="231"/>
      <c r="H142" s="231" t="s">
        <v>1099</v>
      </c>
      <c r="I142" s="231" t="s">
        <v>168</v>
      </c>
      <c r="J142" s="297">
        <v>46106.0</v>
      </c>
      <c r="K142" s="231"/>
      <c r="L142" s="235"/>
      <c r="M142" s="235"/>
      <c r="N142" s="235"/>
      <c r="O142" s="235"/>
      <c r="P142" s="235"/>
      <c r="Q142" s="235"/>
      <c r="R142" s="235"/>
      <c r="S142" s="235"/>
      <c r="T142" s="235"/>
      <c r="U142" s="235"/>
      <c r="V142" s="235"/>
      <c r="W142" s="235"/>
      <c r="X142" s="235"/>
      <c r="Y142" s="235"/>
      <c r="Z142" s="235"/>
    </row>
    <row r="143" ht="12.75" customHeight="1">
      <c r="A143" s="92"/>
      <c r="B143" s="92"/>
      <c r="C143" s="92"/>
      <c r="D143" s="230" t="s">
        <v>1100</v>
      </c>
      <c r="E143" s="92"/>
      <c r="F143" s="92"/>
      <c r="G143" s="92"/>
      <c r="H143" s="92"/>
      <c r="I143" s="92"/>
      <c r="J143" s="92"/>
      <c r="K143" s="92"/>
      <c r="L143" s="235"/>
      <c r="M143" s="235"/>
      <c r="N143" s="235"/>
      <c r="O143" s="235"/>
      <c r="P143" s="235"/>
      <c r="Q143" s="235"/>
      <c r="R143" s="235"/>
      <c r="S143" s="235"/>
      <c r="T143" s="235"/>
      <c r="U143" s="235"/>
      <c r="V143" s="235"/>
      <c r="W143" s="235"/>
      <c r="X143" s="235"/>
      <c r="Y143" s="235"/>
      <c r="Z143" s="235"/>
    </row>
    <row r="144" ht="12.75" customHeight="1">
      <c r="A144" s="92"/>
      <c r="B144" s="92"/>
      <c r="C144" s="92"/>
      <c r="D144" s="230" t="s">
        <v>1101</v>
      </c>
      <c r="E144" s="92"/>
      <c r="F144" s="92"/>
      <c r="G144" s="92"/>
      <c r="H144" s="92"/>
      <c r="I144" s="92"/>
      <c r="J144" s="92"/>
      <c r="K144" s="92"/>
      <c r="L144" s="235"/>
      <c r="M144" s="235"/>
      <c r="N144" s="235"/>
      <c r="O144" s="235"/>
      <c r="P144" s="235"/>
      <c r="Q144" s="235"/>
      <c r="R144" s="235"/>
      <c r="S144" s="235"/>
      <c r="T144" s="235"/>
      <c r="U144" s="235"/>
      <c r="V144" s="235"/>
      <c r="W144" s="235"/>
      <c r="X144" s="235"/>
      <c r="Y144" s="235"/>
      <c r="Z144" s="235"/>
    </row>
    <row r="145" ht="12.75" customHeight="1">
      <c r="A145" s="21"/>
      <c r="B145" s="21"/>
      <c r="C145" s="21"/>
      <c r="D145" s="230" t="s">
        <v>1102</v>
      </c>
      <c r="E145" s="21"/>
      <c r="F145" s="21"/>
      <c r="G145" s="21"/>
      <c r="H145" s="21"/>
      <c r="I145" s="21"/>
      <c r="J145" s="21"/>
      <c r="K145" s="21"/>
      <c r="L145" s="235"/>
      <c r="M145" s="235"/>
      <c r="N145" s="235"/>
      <c r="O145" s="235"/>
      <c r="P145" s="235"/>
      <c r="Q145" s="235"/>
      <c r="R145" s="235"/>
      <c r="S145" s="235"/>
      <c r="T145" s="235"/>
      <c r="U145" s="235"/>
      <c r="V145" s="235"/>
      <c r="W145" s="235"/>
      <c r="X145" s="235"/>
      <c r="Y145" s="235"/>
      <c r="Z145" s="235"/>
    </row>
    <row r="146" ht="12.75" customHeight="1">
      <c r="A146" s="230" t="s">
        <v>1103</v>
      </c>
      <c r="B146" s="230"/>
      <c r="C146" s="230"/>
      <c r="D146" s="230"/>
      <c r="E146" s="230"/>
      <c r="F146" s="230"/>
      <c r="G146" s="230"/>
      <c r="H146" s="230"/>
      <c r="I146" s="230"/>
      <c r="J146" s="230"/>
      <c r="K146" s="230"/>
      <c r="L146" s="235"/>
      <c r="M146" s="235"/>
      <c r="N146" s="235"/>
      <c r="O146" s="235"/>
      <c r="P146" s="235"/>
      <c r="Q146" s="235"/>
      <c r="R146" s="235"/>
      <c r="S146" s="235"/>
      <c r="T146" s="235"/>
      <c r="U146" s="235"/>
      <c r="V146" s="235"/>
      <c r="W146" s="235"/>
      <c r="X146" s="235"/>
      <c r="Y146" s="235"/>
      <c r="Z146" s="235"/>
    </row>
    <row r="147" ht="12.75" customHeight="1">
      <c r="A147" s="231" t="s">
        <v>1104</v>
      </c>
      <c r="B147" s="231" t="s">
        <v>1105</v>
      </c>
      <c r="C147" s="231" t="s">
        <v>1106</v>
      </c>
      <c r="D147" s="230" t="s">
        <v>1107</v>
      </c>
      <c r="E147" s="231" t="s">
        <v>1108</v>
      </c>
      <c r="F147" s="231" t="s">
        <v>1109</v>
      </c>
      <c r="G147" s="231"/>
      <c r="H147" s="231" t="s">
        <v>1110</v>
      </c>
      <c r="I147" s="231" t="s">
        <v>168</v>
      </c>
      <c r="J147" s="297">
        <v>46107.0</v>
      </c>
      <c r="K147" s="231"/>
      <c r="L147" s="235"/>
      <c r="M147" s="235"/>
      <c r="N147" s="235"/>
      <c r="O147" s="235"/>
      <c r="P147" s="235"/>
      <c r="Q147" s="235"/>
      <c r="R147" s="235"/>
      <c r="S147" s="235"/>
      <c r="T147" s="235"/>
      <c r="U147" s="235"/>
      <c r="V147" s="235"/>
      <c r="W147" s="235"/>
      <c r="X147" s="235"/>
      <c r="Y147" s="235"/>
      <c r="Z147" s="235"/>
    </row>
    <row r="148" ht="12.75" customHeight="1">
      <c r="A148" s="92"/>
      <c r="B148" s="92"/>
      <c r="C148" s="92"/>
      <c r="D148" s="230" t="s">
        <v>1090</v>
      </c>
      <c r="E148" s="92"/>
      <c r="F148" s="92"/>
      <c r="G148" s="92"/>
      <c r="H148" s="92"/>
      <c r="I148" s="92"/>
      <c r="J148" s="92"/>
      <c r="K148" s="92"/>
      <c r="L148" s="235"/>
      <c r="M148" s="235"/>
      <c r="N148" s="235"/>
      <c r="O148" s="235"/>
      <c r="P148" s="235"/>
      <c r="Q148" s="235"/>
      <c r="R148" s="235"/>
      <c r="S148" s="235"/>
      <c r="T148" s="235"/>
      <c r="U148" s="235"/>
      <c r="V148" s="235"/>
      <c r="W148" s="235"/>
      <c r="X148" s="235"/>
      <c r="Y148" s="235"/>
      <c r="Z148" s="235"/>
    </row>
    <row r="149" ht="12.75" customHeight="1">
      <c r="A149" s="92"/>
      <c r="B149" s="92"/>
      <c r="C149" s="92"/>
      <c r="D149" s="230" t="s">
        <v>1111</v>
      </c>
      <c r="E149" s="92"/>
      <c r="F149" s="92"/>
      <c r="G149" s="92"/>
      <c r="H149" s="92"/>
      <c r="I149" s="92"/>
      <c r="J149" s="92"/>
      <c r="K149" s="92"/>
      <c r="L149" s="235"/>
      <c r="M149" s="235"/>
      <c r="N149" s="235"/>
      <c r="O149" s="235"/>
      <c r="P149" s="235"/>
      <c r="Q149" s="235"/>
      <c r="R149" s="235"/>
      <c r="S149" s="235"/>
      <c r="T149" s="235"/>
      <c r="U149" s="235"/>
      <c r="V149" s="235"/>
      <c r="W149" s="235"/>
      <c r="X149" s="235"/>
      <c r="Y149" s="235"/>
      <c r="Z149" s="235"/>
    </row>
    <row r="150" ht="12.75" customHeight="1">
      <c r="A150" s="92"/>
      <c r="B150" s="92"/>
      <c r="C150" s="92"/>
      <c r="D150" s="230" t="s">
        <v>999</v>
      </c>
      <c r="E150" s="92"/>
      <c r="F150" s="92"/>
      <c r="G150" s="92"/>
      <c r="H150" s="92"/>
      <c r="I150" s="92"/>
      <c r="J150" s="92"/>
      <c r="K150" s="92"/>
      <c r="L150" s="235"/>
      <c r="M150" s="235"/>
      <c r="N150" s="235"/>
      <c r="O150" s="235"/>
      <c r="P150" s="235"/>
      <c r="Q150" s="235"/>
      <c r="R150" s="235"/>
      <c r="S150" s="235"/>
      <c r="T150" s="235"/>
      <c r="U150" s="235"/>
      <c r="V150" s="235"/>
      <c r="W150" s="235"/>
      <c r="X150" s="235"/>
      <c r="Y150" s="235"/>
      <c r="Z150" s="235"/>
    </row>
    <row r="151" ht="12.75" customHeight="1">
      <c r="A151" s="21"/>
      <c r="B151" s="21"/>
      <c r="C151" s="21"/>
      <c r="D151" s="230" t="s">
        <v>1112</v>
      </c>
      <c r="E151" s="21"/>
      <c r="F151" s="21"/>
      <c r="G151" s="21"/>
      <c r="H151" s="21"/>
      <c r="I151" s="21"/>
      <c r="J151" s="21"/>
      <c r="K151" s="21"/>
      <c r="L151" s="235"/>
      <c r="M151" s="235"/>
      <c r="N151" s="235"/>
      <c r="O151" s="235"/>
      <c r="P151" s="235"/>
      <c r="Q151" s="235"/>
      <c r="R151" s="235"/>
      <c r="S151" s="235"/>
      <c r="T151" s="235"/>
      <c r="U151" s="235"/>
      <c r="V151" s="235"/>
      <c r="W151" s="235"/>
      <c r="X151" s="235"/>
      <c r="Y151" s="235"/>
      <c r="Z151" s="235"/>
    </row>
    <row r="152" ht="12.75" customHeight="1">
      <c r="A152" s="231" t="s">
        <v>1113</v>
      </c>
      <c r="B152" s="231" t="s">
        <v>1114</v>
      </c>
      <c r="C152" s="231" t="s">
        <v>1115</v>
      </c>
      <c r="D152" s="230" t="s">
        <v>1107</v>
      </c>
      <c r="E152" s="231" t="s">
        <v>1116</v>
      </c>
      <c r="F152" s="231" t="s">
        <v>1117</v>
      </c>
      <c r="G152" s="231"/>
      <c r="H152" s="231" t="s">
        <v>717</v>
      </c>
      <c r="I152" s="231" t="s">
        <v>168</v>
      </c>
      <c r="J152" s="297">
        <v>46107.0</v>
      </c>
      <c r="K152" s="231"/>
      <c r="L152" s="235"/>
      <c r="M152" s="235"/>
      <c r="N152" s="235"/>
      <c r="O152" s="235"/>
      <c r="P152" s="235"/>
      <c r="Q152" s="235"/>
      <c r="R152" s="235"/>
      <c r="S152" s="235"/>
      <c r="T152" s="235"/>
      <c r="U152" s="235"/>
      <c r="V152" s="235"/>
      <c r="W152" s="235"/>
      <c r="X152" s="235"/>
      <c r="Y152" s="235"/>
      <c r="Z152" s="235"/>
    </row>
    <row r="153" ht="12.75" customHeight="1">
      <c r="A153" s="92"/>
      <c r="B153" s="92"/>
      <c r="C153" s="92"/>
      <c r="D153" s="230" t="s">
        <v>1090</v>
      </c>
      <c r="E153" s="92"/>
      <c r="F153" s="92"/>
      <c r="G153" s="92"/>
      <c r="H153" s="92"/>
      <c r="I153" s="92"/>
      <c r="J153" s="92"/>
      <c r="K153" s="92"/>
      <c r="L153" s="235"/>
      <c r="M153" s="235"/>
      <c r="N153" s="235"/>
      <c r="O153" s="235"/>
      <c r="P153" s="235"/>
      <c r="Q153" s="235"/>
      <c r="R153" s="235"/>
      <c r="S153" s="235"/>
      <c r="T153" s="235"/>
      <c r="U153" s="235"/>
      <c r="V153" s="235"/>
      <c r="W153" s="235"/>
      <c r="X153" s="235"/>
      <c r="Y153" s="235"/>
      <c r="Z153" s="235"/>
    </row>
    <row r="154" ht="12.75" customHeight="1">
      <c r="A154" s="92"/>
      <c r="B154" s="92"/>
      <c r="C154" s="92"/>
      <c r="D154" s="230" t="s">
        <v>1118</v>
      </c>
      <c r="E154" s="92"/>
      <c r="F154" s="92"/>
      <c r="G154" s="92"/>
      <c r="H154" s="92"/>
      <c r="I154" s="92"/>
      <c r="J154" s="92"/>
      <c r="K154" s="92"/>
      <c r="L154" s="235"/>
      <c r="M154" s="235"/>
      <c r="N154" s="235"/>
      <c r="O154" s="235"/>
      <c r="P154" s="235"/>
      <c r="Q154" s="235"/>
      <c r="R154" s="235"/>
      <c r="S154" s="235"/>
      <c r="T154" s="235"/>
      <c r="U154" s="235"/>
      <c r="V154" s="235"/>
      <c r="W154" s="235"/>
      <c r="X154" s="235"/>
      <c r="Y154" s="235"/>
      <c r="Z154" s="235"/>
    </row>
    <row r="155" ht="12.75" customHeight="1">
      <c r="A155" s="92"/>
      <c r="B155" s="92"/>
      <c r="C155" s="92"/>
      <c r="D155" s="230" t="s">
        <v>999</v>
      </c>
      <c r="E155" s="92"/>
      <c r="F155" s="92"/>
      <c r="G155" s="92"/>
      <c r="H155" s="92"/>
      <c r="I155" s="92"/>
      <c r="J155" s="92"/>
      <c r="K155" s="92"/>
      <c r="L155" s="235"/>
      <c r="M155" s="235"/>
      <c r="N155" s="235"/>
      <c r="O155" s="235"/>
      <c r="P155" s="235"/>
      <c r="Q155" s="235"/>
      <c r="R155" s="235"/>
      <c r="S155" s="235"/>
      <c r="T155" s="235"/>
      <c r="U155" s="235"/>
      <c r="V155" s="235"/>
      <c r="W155" s="235"/>
      <c r="X155" s="235"/>
      <c r="Y155" s="235"/>
      <c r="Z155" s="235"/>
    </row>
    <row r="156" ht="12.75" customHeight="1">
      <c r="A156" s="21"/>
      <c r="B156" s="21"/>
      <c r="C156" s="21"/>
      <c r="D156" s="230" t="s">
        <v>1112</v>
      </c>
      <c r="E156" s="21"/>
      <c r="F156" s="21"/>
      <c r="G156" s="21"/>
      <c r="H156" s="21"/>
      <c r="I156" s="21"/>
      <c r="J156" s="21"/>
      <c r="K156" s="21"/>
      <c r="L156" s="235"/>
      <c r="M156" s="235"/>
      <c r="N156" s="235"/>
      <c r="O156" s="235"/>
      <c r="P156" s="235"/>
      <c r="Q156" s="235"/>
      <c r="R156" s="235"/>
      <c r="S156" s="235"/>
      <c r="T156" s="235"/>
      <c r="U156" s="235"/>
      <c r="V156" s="235"/>
      <c r="W156" s="235"/>
      <c r="X156" s="235"/>
      <c r="Y156" s="235"/>
      <c r="Z156" s="235"/>
    </row>
    <row r="157" ht="12.75" customHeight="1">
      <c r="A157" s="230" t="s">
        <v>146</v>
      </c>
      <c r="B157" s="230"/>
      <c r="C157" s="230"/>
      <c r="D157" s="230"/>
      <c r="E157" s="230"/>
      <c r="F157" s="230"/>
      <c r="G157" s="230"/>
      <c r="H157" s="230"/>
      <c r="I157" s="230"/>
      <c r="J157" s="230"/>
      <c r="K157" s="230"/>
      <c r="L157" s="235"/>
      <c r="M157" s="235"/>
      <c r="N157" s="235"/>
      <c r="O157" s="235"/>
      <c r="P157" s="235"/>
      <c r="Q157" s="235"/>
      <c r="R157" s="235"/>
      <c r="S157" s="235"/>
      <c r="T157" s="235"/>
      <c r="U157" s="235"/>
      <c r="V157" s="235"/>
      <c r="W157" s="235"/>
      <c r="X157" s="235"/>
      <c r="Y157" s="235"/>
      <c r="Z157" s="235"/>
    </row>
    <row r="158" ht="12.75" customHeight="1">
      <c r="A158" s="231" t="s">
        <v>1119</v>
      </c>
      <c r="B158" s="231" t="s">
        <v>1120</v>
      </c>
      <c r="C158" s="231" t="s">
        <v>1121</v>
      </c>
      <c r="D158" s="230" t="s">
        <v>1107</v>
      </c>
      <c r="E158" s="231" t="s">
        <v>1122</v>
      </c>
      <c r="F158" s="231" t="s">
        <v>1123</v>
      </c>
      <c r="G158" s="231"/>
      <c r="H158" s="231" t="s">
        <v>1124</v>
      </c>
      <c r="I158" s="231" t="s">
        <v>168</v>
      </c>
      <c r="J158" s="297">
        <v>46108.0</v>
      </c>
      <c r="K158" s="231"/>
      <c r="L158" s="235"/>
      <c r="M158" s="235"/>
      <c r="N158" s="235"/>
      <c r="O158" s="235"/>
      <c r="P158" s="235"/>
      <c r="Q158" s="235"/>
      <c r="R158" s="235"/>
      <c r="S158" s="235"/>
      <c r="T158" s="235"/>
      <c r="U158" s="235"/>
      <c r="V158" s="235"/>
      <c r="W158" s="235"/>
      <c r="X158" s="235"/>
      <c r="Y158" s="235"/>
      <c r="Z158" s="235"/>
    </row>
    <row r="159" ht="12.75" customHeight="1">
      <c r="A159" s="92"/>
      <c r="B159" s="92"/>
      <c r="C159" s="92"/>
      <c r="D159" s="230" t="s">
        <v>1125</v>
      </c>
      <c r="E159" s="92"/>
      <c r="F159" s="92"/>
      <c r="G159" s="92"/>
      <c r="H159" s="92"/>
      <c r="I159" s="92"/>
      <c r="J159" s="92"/>
      <c r="K159" s="92"/>
      <c r="L159" s="235"/>
      <c r="M159" s="235"/>
      <c r="N159" s="235"/>
      <c r="O159" s="235"/>
      <c r="P159" s="235"/>
      <c r="Q159" s="235"/>
      <c r="R159" s="235"/>
      <c r="S159" s="235"/>
      <c r="T159" s="235"/>
      <c r="U159" s="235"/>
      <c r="V159" s="235"/>
      <c r="W159" s="235"/>
      <c r="X159" s="235"/>
      <c r="Y159" s="235"/>
      <c r="Z159" s="235"/>
    </row>
    <row r="160" ht="12.75" customHeight="1">
      <c r="A160" s="92"/>
      <c r="B160" s="92"/>
      <c r="C160" s="92"/>
      <c r="D160" s="230" t="s">
        <v>1126</v>
      </c>
      <c r="E160" s="92"/>
      <c r="F160" s="92"/>
      <c r="G160" s="92"/>
      <c r="H160" s="92"/>
      <c r="I160" s="92"/>
      <c r="J160" s="92"/>
      <c r="K160" s="92"/>
      <c r="L160" s="235"/>
      <c r="M160" s="235"/>
      <c r="N160" s="235"/>
      <c r="O160" s="235"/>
      <c r="P160" s="235"/>
      <c r="Q160" s="235"/>
      <c r="R160" s="235"/>
      <c r="S160" s="235"/>
      <c r="T160" s="235"/>
      <c r="U160" s="235"/>
      <c r="V160" s="235"/>
      <c r="W160" s="235"/>
      <c r="X160" s="235"/>
      <c r="Y160" s="235"/>
      <c r="Z160" s="235"/>
    </row>
    <row r="161" ht="12.75" customHeight="1">
      <c r="A161" s="92"/>
      <c r="B161" s="92"/>
      <c r="C161" s="92"/>
      <c r="D161" s="230" t="s">
        <v>1127</v>
      </c>
      <c r="E161" s="92"/>
      <c r="F161" s="92"/>
      <c r="G161" s="92"/>
      <c r="H161" s="92"/>
      <c r="I161" s="92"/>
      <c r="J161" s="92"/>
      <c r="K161" s="92"/>
      <c r="L161" s="235"/>
      <c r="M161" s="235"/>
      <c r="N161" s="235"/>
      <c r="O161" s="235"/>
      <c r="P161" s="235"/>
      <c r="Q161" s="235"/>
      <c r="R161" s="235"/>
      <c r="S161" s="235"/>
      <c r="T161" s="235"/>
      <c r="U161" s="235"/>
      <c r="V161" s="235"/>
      <c r="W161" s="235"/>
      <c r="X161" s="235"/>
      <c r="Y161" s="235"/>
      <c r="Z161" s="235"/>
    </row>
    <row r="162" ht="12.75" customHeight="1">
      <c r="A162" s="92"/>
      <c r="B162" s="92"/>
      <c r="C162" s="92"/>
      <c r="D162" s="230" t="s">
        <v>1128</v>
      </c>
      <c r="E162" s="92"/>
      <c r="F162" s="92"/>
      <c r="G162" s="92"/>
      <c r="H162" s="92"/>
      <c r="I162" s="92"/>
      <c r="J162" s="92"/>
      <c r="K162" s="92"/>
      <c r="L162" s="235"/>
      <c r="M162" s="235"/>
      <c r="N162" s="235"/>
      <c r="O162" s="235"/>
      <c r="P162" s="235"/>
      <c r="Q162" s="235"/>
      <c r="R162" s="235"/>
      <c r="S162" s="235"/>
      <c r="T162" s="235"/>
      <c r="U162" s="235"/>
      <c r="V162" s="235"/>
      <c r="W162" s="235"/>
      <c r="X162" s="235"/>
      <c r="Y162" s="235"/>
      <c r="Z162" s="235"/>
    </row>
    <row r="163" ht="12.75" customHeight="1">
      <c r="A163" s="21"/>
      <c r="B163" s="21"/>
      <c r="C163" s="21"/>
      <c r="D163" s="230" t="s">
        <v>1129</v>
      </c>
      <c r="E163" s="21"/>
      <c r="F163" s="21"/>
      <c r="G163" s="21"/>
      <c r="H163" s="21"/>
      <c r="I163" s="21"/>
      <c r="J163" s="21"/>
      <c r="K163" s="21"/>
      <c r="L163" s="235"/>
      <c r="M163" s="235"/>
      <c r="N163" s="235"/>
      <c r="O163" s="235"/>
      <c r="P163" s="235"/>
      <c r="Q163" s="235"/>
      <c r="R163" s="235"/>
      <c r="S163" s="235"/>
      <c r="T163" s="235"/>
      <c r="U163" s="235"/>
      <c r="V163" s="235"/>
      <c r="W163" s="235"/>
      <c r="X163" s="235"/>
      <c r="Y163" s="235"/>
      <c r="Z163" s="235"/>
    </row>
    <row r="164" ht="12.75" customHeight="1">
      <c r="A164" s="231" t="s">
        <v>1130</v>
      </c>
      <c r="B164" s="231" t="s">
        <v>1131</v>
      </c>
      <c r="C164" s="231" t="s">
        <v>1132</v>
      </c>
      <c r="D164" s="230" t="s">
        <v>1107</v>
      </c>
      <c r="E164" s="231" t="s">
        <v>1133</v>
      </c>
      <c r="F164" s="231" t="s">
        <v>1134</v>
      </c>
      <c r="G164" s="231"/>
      <c r="H164" s="231" t="s">
        <v>1135</v>
      </c>
      <c r="I164" s="231" t="s">
        <v>168</v>
      </c>
      <c r="J164" s="297">
        <v>46108.0</v>
      </c>
      <c r="K164" s="231"/>
      <c r="L164" s="235"/>
      <c r="M164" s="235"/>
      <c r="N164" s="235"/>
      <c r="O164" s="235"/>
      <c r="P164" s="235"/>
      <c r="Q164" s="235"/>
      <c r="R164" s="235"/>
      <c r="S164" s="235"/>
      <c r="T164" s="235"/>
      <c r="U164" s="235"/>
      <c r="V164" s="235"/>
      <c r="W164" s="235"/>
      <c r="X164" s="235"/>
      <c r="Y164" s="235"/>
      <c r="Z164" s="235"/>
    </row>
    <row r="165" ht="12.75" customHeight="1">
      <c r="A165" s="92"/>
      <c r="B165" s="92"/>
      <c r="C165" s="92"/>
      <c r="D165" s="230" t="s">
        <v>1125</v>
      </c>
      <c r="E165" s="92"/>
      <c r="F165" s="92"/>
      <c r="G165" s="92"/>
      <c r="H165" s="92"/>
      <c r="I165" s="92"/>
      <c r="J165" s="92"/>
      <c r="K165" s="92"/>
      <c r="L165" s="235"/>
      <c r="M165" s="235"/>
      <c r="N165" s="235"/>
      <c r="O165" s="235"/>
      <c r="P165" s="235"/>
      <c r="Q165" s="235"/>
      <c r="R165" s="235"/>
      <c r="S165" s="235"/>
      <c r="T165" s="235"/>
      <c r="U165" s="235"/>
      <c r="V165" s="235"/>
      <c r="W165" s="235"/>
      <c r="X165" s="235"/>
      <c r="Y165" s="235"/>
      <c r="Z165" s="235"/>
    </row>
    <row r="166" ht="12.75" customHeight="1">
      <c r="A166" s="92"/>
      <c r="B166" s="92"/>
      <c r="C166" s="92"/>
      <c r="D166" s="230" t="s">
        <v>1136</v>
      </c>
      <c r="E166" s="92"/>
      <c r="F166" s="92"/>
      <c r="G166" s="92"/>
      <c r="H166" s="92"/>
      <c r="I166" s="92"/>
      <c r="J166" s="92"/>
      <c r="K166" s="92"/>
      <c r="L166" s="235"/>
      <c r="M166" s="235"/>
      <c r="N166" s="235"/>
      <c r="O166" s="235"/>
      <c r="P166" s="235"/>
      <c r="Q166" s="235"/>
      <c r="R166" s="235"/>
      <c r="S166" s="235"/>
      <c r="T166" s="235"/>
      <c r="U166" s="235"/>
      <c r="V166" s="235"/>
      <c r="W166" s="235"/>
      <c r="X166" s="235"/>
      <c r="Y166" s="235"/>
      <c r="Z166" s="235"/>
    </row>
    <row r="167" ht="12.75" customHeight="1">
      <c r="A167" s="92"/>
      <c r="B167" s="92"/>
      <c r="C167" s="92"/>
      <c r="D167" s="230" t="s">
        <v>1137</v>
      </c>
      <c r="E167" s="92"/>
      <c r="F167" s="92"/>
      <c r="G167" s="92"/>
      <c r="H167" s="92"/>
      <c r="I167" s="92"/>
      <c r="J167" s="92"/>
      <c r="K167" s="92"/>
      <c r="L167" s="235"/>
      <c r="M167" s="235"/>
      <c r="N167" s="235"/>
      <c r="O167" s="235"/>
      <c r="P167" s="235"/>
      <c r="Q167" s="235"/>
      <c r="R167" s="235"/>
      <c r="S167" s="235"/>
      <c r="T167" s="235"/>
      <c r="U167" s="235"/>
      <c r="V167" s="235"/>
      <c r="W167" s="235"/>
      <c r="X167" s="235"/>
      <c r="Y167" s="235"/>
      <c r="Z167" s="235"/>
    </row>
    <row r="168" ht="12.75" customHeight="1">
      <c r="A168" s="92"/>
      <c r="B168" s="92"/>
      <c r="C168" s="92"/>
      <c r="D168" s="230" t="s">
        <v>1128</v>
      </c>
      <c r="E168" s="92"/>
      <c r="F168" s="92"/>
      <c r="G168" s="92"/>
      <c r="H168" s="92"/>
      <c r="I168" s="92"/>
      <c r="J168" s="92"/>
      <c r="K168" s="92"/>
      <c r="L168" s="235"/>
      <c r="M168" s="235"/>
      <c r="N168" s="235"/>
      <c r="O168" s="235"/>
      <c r="P168" s="235"/>
      <c r="Q168" s="235"/>
      <c r="R168" s="235"/>
      <c r="S168" s="235"/>
      <c r="T168" s="235"/>
      <c r="U168" s="235"/>
      <c r="V168" s="235"/>
      <c r="W168" s="235"/>
      <c r="X168" s="235"/>
      <c r="Y168" s="235"/>
      <c r="Z168" s="235"/>
    </row>
    <row r="169" ht="12.75" customHeight="1">
      <c r="A169" s="21"/>
      <c r="B169" s="21"/>
      <c r="C169" s="21"/>
      <c r="D169" s="230" t="s">
        <v>1138</v>
      </c>
      <c r="E169" s="21"/>
      <c r="F169" s="21"/>
      <c r="G169" s="21"/>
      <c r="H169" s="21"/>
      <c r="I169" s="21"/>
      <c r="J169" s="21"/>
      <c r="K169" s="21"/>
      <c r="L169" s="235"/>
      <c r="M169" s="235"/>
      <c r="N169" s="235"/>
      <c r="O169" s="235"/>
      <c r="P169" s="235"/>
      <c r="Q169" s="235"/>
      <c r="R169" s="235"/>
      <c r="S169" s="235"/>
      <c r="T169" s="235"/>
      <c r="U169" s="235"/>
      <c r="V169" s="235"/>
      <c r="W169" s="235"/>
      <c r="X169" s="235"/>
      <c r="Y169" s="235"/>
      <c r="Z169" s="235"/>
    </row>
    <row r="170" ht="12.75" customHeight="1">
      <c r="A170" s="298"/>
      <c r="B170" s="6"/>
      <c r="C170" s="6"/>
      <c r="D170" s="6"/>
      <c r="E170" s="6"/>
      <c r="F170" s="6"/>
      <c r="G170" s="6"/>
      <c r="H170" s="6"/>
      <c r="I170" s="6"/>
      <c r="J170" s="6"/>
      <c r="K170" s="7"/>
      <c r="L170" s="235"/>
      <c r="M170" s="235"/>
      <c r="N170" s="235"/>
      <c r="O170" s="235"/>
      <c r="P170" s="235"/>
      <c r="Q170" s="235"/>
      <c r="R170" s="235"/>
      <c r="S170" s="235"/>
      <c r="T170" s="235"/>
      <c r="U170" s="235"/>
      <c r="V170" s="235"/>
      <c r="W170" s="235"/>
      <c r="X170" s="235"/>
      <c r="Y170" s="235"/>
      <c r="Z170" s="235"/>
    </row>
    <row r="171" ht="12.75" customHeight="1">
      <c r="A171" s="230" t="s">
        <v>1139</v>
      </c>
      <c r="B171" s="230"/>
      <c r="C171" s="230"/>
      <c r="D171" s="230"/>
      <c r="E171" s="230"/>
      <c r="F171" s="230"/>
      <c r="G171" s="230"/>
      <c r="H171" s="230"/>
      <c r="I171" s="230"/>
      <c r="J171" s="230"/>
      <c r="K171" s="230"/>
      <c r="L171" s="235"/>
      <c r="M171" s="235"/>
      <c r="N171" s="235"/>
      <c r="O171" s="235"/>
      <c r="P171" s="235"/>
      <c r="Q171" s="235"/>
      <c r="R171" s="235"/>
      <c r="S171" s="235"/>
      <c r="T171" s="235"/>
      <c r="U171" s="235"/>
      <c r="V171" s="235"/>
      <c r="W171" s="235"/>
      <c r="X171" s="235"/>
      <c r="Y171" s="235"/>
      <c r="Z171" s="235"/>
    </row>
    <row r="172" ht="12.75" customHeight="1">
      <c r="A172" s="231" t="s">
        <v>1140</v>
      </c>
      <c r="B172" s="231" t="s">
        <v>1141</v>
      </c>
      <c r="C172" s="231" t="s">
        <v>1142</v>
      </c>
      <c r="D172" s="230" t="s">
        <v>1143</v>
      </c>
      <c r="E172" s="230" t="s">
        <v>1144</v>
      </c>
      <c r="F172" s="231" t="s">
        <v>1145</v>
      </c>
      <c r="G172" s="231"/>
      <c r="H172" s="231" t="s">
        <v>1146</v>
      </c>
      <c r="I172" s="231" t="s">
        <v>168</v>
      </c>
      <c r="J172" s="297">
        <v>46098.0</v>
      </c>
      <c r="K172" s="231"/>
      <c r="L172" s="235"/>
      <c r="M172" s="235"/>
      <c r="N172" s="235"/>
      <c r="O172" s="235"/>
      <c r="P172" s="235"/>
      <c r="Q172" s="235"/>
      <c r="R172" s="235"/>
      <c r="S172" s="235"/>
      <c r="T172" s="235"/>
      <c r="U172" s="235"/>
      <c r="V172" s="235"/>
      <c r="W172" s="235"/>
      <c r="X172" s="235"/>
      <c r="Y172" s="235"/>
      <c r="Z172" s="235"/>
    </row>
    <row r="173" ht="12.75" customHeight="1">
      <c r="A173" s="92"/>
      <c r="B173" s="92"/>
      <c r="C173" s="92"/>
      <c r="D173" s="230" t="s">
        <v>1147</v>
      </c>
      <c r="E173" s="230" t="s">
        <v>1148</v>
      </c>
      <c r="F173" s="92"/>
      <c r="G173" s="92"/>
      <c r="H173" s="92"/>
      <c r="I173" s="92"/>
      <c r="J173" s="92"/>
      <c r="K173" s="92"/>
      <c r="L173" s="235"/>
      <c r="M173" s="235"/>
      <c r="N173" s="235"/>
      <c r="O173" s="235"/>
      <c r="P173" s="235"/>
      <c r="Q173" s="235"/>
      <c r="R173" s="235"/>
      <c r="S173" s="235"/>
      <c r="T173" s="235"/>
      <c r="U173" s="235"/>
      <c r="V173" s="235"/>
      <c r="W173" s="235"/>
      <c r="X173" s="235"/>
      <c r="Y173" s="235"/>
      <c r="Z173" s="235"/>
    </row>
    <row r="174" ht="12.75" customHeight="1">
      <c r="A174" s="92"/>
      <c r="B174" s="92"/>
      <c r="C174" s="92"/>
      <c r="D174" s="230" t="s">
        <v>1149</v>
      </c>
      <c r="E174" s="230"/>
      <c r="F174" s="92"/>
      <c r="G174" s="92"/>
      <c r="H174" s="92"/>
      <c r="I174" s="92"/>
      <c r="J174" s="92"/>
      <c r="K174" s="92"/>
      <c r="L174" s="235"/>
      <c r="M174" s="235"/>
      <c r="N174" s="235"/>
      <c r="O174" s="235"/>
      <c r="P174" s="235"/>
      <c r="Q174" s="235"/>
      <c r="R174" s="235"/>
      <c r="S174" s="235"/>
      <c r="T174" s="235"/>
      <c r="U174" s="235"/>
      <c r="V174" s="235"/>
      <c r="W174" s="235"/>
      <c r="X174" s="235"/>
      <c r="Y174" s="235"/>
      <c r="Z174" s="235"/>
    </row>
    <row r="175" ht="12.75" customHeight="1">
      <c r="A175" s="92"/>
      <c r="B175" s="92"/>
      <c r="C175" s="92"/>
      <c r="D175" s="230" t="s">
        <v>1150</v>
      </c>
      <c r="E175" s="230"/>
      <c r="F175" s="92"/>
      <c r="G175" s="92"/>
      <c r="H175" s="92"/>
      <c r="I175" s="92"/>
      <c r="J175" s="92"/>
      <c r="K175" s="92"/>
      <c r="L175" s="235"/>
      <c r="M175" s="235"/>
      <c r="N175" s="235"/>
      <c r="O175" s="235"/>
      <c r="P175" s="235"/>
      <c r="Q175" s="235"/>
      <c r="R175" s="235"/>
      <c r="S175" s="235"/>
      <c r="T175" s="235"/>
      <c r="U175" s="235"/>
      <c r="V175" s="235"/>
      <c r="W175" s="235"/>
      <c r="X175" s="235"/>
      <c r="Y175" s="235"/>
      <c r="Z175" s="235"/>
    </row>
    <row r="176" ht="12.75" customHeight="1">
      <c r="A176" s="92"/>
      <c r="B176" s="92"/>
      <c r="C176" s="92"/>
      <c r="D176" s="230" t="s">
        <v>1151</v>
      </c>
      <c r="E176" s="230"/>
      <c r="F176" s="92"/>
      <c r="G176" s="92"/>
      <c r="H176" s="92"/>
      <c r="I176" s="92"/>
      <c r="J176" s="92"/>
      <c r="K176" s="92"/>
      <c r="L176" s="235"/>
      <c r="M176" s="235"/>
      <c r="N176" s="235"/>
      <c r="O176" s="235"/>
      <c r="P176" s="235"/>
      <c r="Q176" s="235"/>
      <c r="R176" s="235"/>
      <c r="S176" s="235"/>
      <c r="T176" s="235"/>
      <c r="U176" s="235"/>
      <c r="V176" s="235"/>
      <c r="W176" s="235"/>
      <c r="X176" s="235"/>
      <c r="Y176" s="235"/>
      <c r="Z176" s="235"/>
    </row>
    <row r="177" ht="12.75" customHeight="1">
      <c r="A177" s="21"/>
      <c r="B177" s="21"/>
      <c r="C177" s="21"/>
      <c r="D177" s="230" t="s">
        <v>1152</v>
      </c>
      <c r="E177" s="230"/>
      <c r="F177" s="21"/>
      <c r="G177" s="21"/>
      <c r="H177" s="21"/>
      <c r="I177" s="21"/>
      <c r="J177" s="21"/>
      <c r="K177" s="21"/>
      <c r="L177" s="235"/>
      <c r="M177" s="235"/>
      <c r="N177" s="235"/>
      <c r="O177" s="235"/>
      <c r="P177" s="235"/>
      <c r="Q177" s="235"/>
      <c r="R177" s="235"/>
      <c r="S177" s="235"/>
      <c r="T177" s="235"/>
      <c r="U177" s="235"/>
      <c r="V177" s="235"/>
      <c r="W177" s="235"/>
      <c r="X177" s="235"/>
      <c r="Y177" s="235"/>
      <c r="Z177" s="235"/>
    </row>
    <row r="178" ht="12.75" customHeight="1">
      <c r="A178" s="231" t="s">
        <v>1153</v>
      </c>
      <c r="B178" s="231" t="s">
        <v>1154</v>
      </c>
      <c r="C178" s="231" t="s">
        <v>1155</v>
      </c>
      <c r="D178" s="230" t="s">
        <v>880</v>
      </c>
      <c r="E178" s="231" t="s">
        <v>1156</v>
      </c>
      <c r="F178" s="231" t="s">
        <v>1157</v>
      </c>
      <c r="G178" s="231"/>
      <c r="H178" s="231" t="s">
        <v>860</v>
      </c>
      <c r="I178" s="231" t="s">
        <v>168</v>
      </c>
      <c r="J178" s="297">
        <v>46098.0</v>
      </c>
      <c r="K178" s="231"/>
      <c r="L178" s="235"/>
      <c r="M178" s="235"/>
      <c r="N178" s="235"/>
      <c r="O178" s="235"/>
      <c r="P178" s="235"/>
      <c r="Q178" s="235"/>
      <c r="R178" s="235"/>
      <c r="S178" s="235"/>
      <c r="T178" s="235"/>
      <c r="U178" s="235"/>
      <c r="V178" s="235"/>
      <c r="W178" s="235"/>
      <c r="X178" s="235"/>
      <c r="Y178" s="235"/>
      <c r="Z178" s="235"/>
    </row>
    <row r="179" ht="12.75" customHeight="1">
      <c r="A179" s="92"/>
      <c r="B179" s="92"/>
      <c r="C179" s="92"/>
      <c r="D179" s="230" t="s">
        <v>1147</v>
      </c>
      <c r="E179" s="92"/>
      <c r="F179" s="92"/>
      <c r="G179" s="92"/>
      <c r="H179" s="92"/>
      <c r="I179" s="92"/>
      <c r="J179" s="92"/>
      <c r="K179" s="92"/>
      <c r="L179" s="235"/>
      <c r="M179" s="235"/>
      <c r="N179" s="235"/>
      <c r="O179" s="235"/>
      <c r="P179" s="235"/>
      <c r="Q179" s="235"/>
      <c r="R179" s="235"/>
      <c r="S179" s="235"/>
      <c r="T179" s="235"/>
      <c r="U179" s="235"/>
      <c r="V179" s="235"/>
      <c r="W179" s="235"/>
      <c r="X179" s="235"/>
      <c r="Y179" s="235"/>
      <c r="Z179" s="235"/>
    </row>
    <row r="180" ht="12.75" customHeight="1">
      <c r="A180" s="92"/>
      <c r="B180" s="92"/>
      <c r="C180" s="92"/>
      <c r="D180" s="230" t="s">
        <v>1158</v>
      </c>
      <c r="E180" s="92"/>
      <c r="F180" s="92"/>
      <c r="G180" s="92"/>
      <c r="H180" s="92"/>
      <c r="I180" s="92"/>
      <c r="J180" s="92"/>
      <c r="K180" s="92"/>
      <c r="L180" s="235"/>
      <c r="M180" s="235"/>
      <c r="N180" s="235"/>
      <c r="O180" s="235"/>
      <c r="P180" s="235"/>
      <c r="Q180" s="235"/>
      <c r="R180" s="235"/>
      <c r="S180" s="235"/>
      <c r="T180" s="235"/>
      <c r="U180" s="235"/>
      <c r="V180" s="235"/>
      <c r="W180" s="235"/>
      <c r="X180" s="235"/>
      <c r="Y180" s="235"/>
      <c r="Z180" s="235"/>
    </row>
    <row r="181" ht="12.75" customHeight="1">
      <c r="A181" s="92"/>
      <c r="B181" s="92"/>
      <c r="C181" s="92"/>
      <c r="D181" s="230" t="s">
        <v>1159</v>
      </c>
      <c r="E181" s="92"/>
      <c r="F181" s="92"/>
      <c r="G181" s="92"/>
      <c r="H181" s="92"/>
      <c r="I181" s="92"/>
      <c r="J181" s="92"/>
      <c r="K181" s="92"/>
      <c r="L181" s="235"/>
      <c r="M181" s="235"/>
      <c r="N181" s="235"/>
      <c r="O181" s="235"/>
      <c r="P181" s="235"/>
      <c r="Q181" s="235"/>
      <c r="R181" s="235"/>
      <c r="S181" s="235"/>
      <c r="T181" s="235"/>
      <c r="U181" s="235"/>
      <c r="V181" s="235"/>
      <c r="W181" s="235"/>
      <c r="X181" s="235"/>
      <c r="Y181" s="235"/>
      <c r="Z181" s="235"/>
    </row>
    <row r="182" ht="12.75" customHeight="1">
      <c r="A182" s="21"/>
      <c r="B182" s="21"/>
      <c r="C182" s="21"/>
      <c r="D182" s="230" t="s">
        <v>1160</v>
      </c>
      <c r="E182" s="21"/>
      <c r="F182" s="21"/>
      <c r="G182" s="21"/>
      <c r="H182" s="21"/>
      <c r="I182" s="21"/>
      <c r="J182" s="21"/>
      <c r="K182" s="21"/>
      <c r="L182" s="235"/>
      <c r="M182" s="235"/>
      <c r="N182" s="235"/>
      <c r="O182" s="235"/>
      <c r="P182" s="235"/>
      <c r="Q182" s="235"/>
      <c r="R182" s="235"/>
      <c r="S182" s="235"/>
      <c r="T182" s="235"/>
      <c r="U182" s="235"/>
      <c r="V182" s="235"/>
      <c r="W182" s="235"/>
      <c r="X182" s="235"/>
      <c r="Y182" s="235"/>
      <c r="Z182" s="235"/>
    </row>
    <row r="183" ht="12.75" customHeight="1">
      <c r="A183" s="231" t="s">
        <v>1161</v>
      </c>
      <c r="B183" s="231" t="s">
        <v>1162</v>
      </c>
      <c r="C183" s="231" t="s">
        <v>1163</v>
      </c>
      <c r="D183" s="230" t="s">
        <v>880</v>
      </c>
      <c r="E183" s="230" t="s">
        <v>1164</v>
      </c>
      <c r="F183" s="231" t="s">
        <v>1165</v>
      </c>
      <c r="G183" s="231"/>
      <c r="H183" s="231" t="s">
        <v>1166</v>
      </c>
      <c r="I183" s="231" t="s">
        <v>168</v>
      </c>
      <c r="J183" s="297">
        <v>46099.0</v>
      </c>
      <c r="K183" s="231"/>
      <c r="L183" s="235"/>
      <c r="M183" s="235"/>
      <c r="N183" s="235"/>
      <c r="O183" s="235"/>
      <c r="P183" s="235"/>
      <c r="Q183" s="235"/>
      <c r="R183" s="235"/>
      <c r="S183" s="235"/>
      <c r="T183" s="235"/>
      <c r="U183" s="235"/>
      <c r="V183" s="235"/>
      <c r="W183" s="235"/>
      <c r="X183" s="235"/>
      <c r="Y183" s="235"/>
      <c r="Z183" s="235"/>
    </row>
    <row r="184" ht="12.75" customHeight="1">
      <c r="A184" s="92"/>
      <c r="B184" s="92"/>
      <c r="C184" s="92"/>
      <c r="D184" s="230" t="s">
        <v>1147</v>
      </c>
      <c r="E184" s="230" t="s">
        <v>892</v>
      </c>
      <c r="F184" s="92"/>
      <c r="G184" s="92"/>
      <c r="H184" s="92"/>
      <c r="I184" s="92"/>
      <c r="J184" s="92"/>
      <c r="K184" s="92"/>
      <c r="L184" s="235"/>
      <c r="M184" s="235"/>
      <c r="N184" s="235"/>
      <c r="O184" s="235"/>
      <c r="P184" s="235"/>
      <c r="Q184" s="235"/>
      <c r="R184" s="235"/>
      <c r="S184" s="235"/>
      <c r="T184" s="235"/>
      <c r="U184" s="235"/>
      <c r="V184" s="235"/>
      <c r="W184" s="235"/>
      <c r="X184" s="235"/>
      <c r="Y184" s="235"/>
      <c r="Z184" s="235"/>
    </row>
    <row r="185" ht="12.75" customHeight="1">
      <c r="A185" s="92"/>
      <c r="B185" s="92"/>
      <c r="C185" s="92"/>
      <c r="D185" s="230" t="s">
        <v>1167</v>
      </c>
      <c r="E185" s="230"/>
      <c r="F185" s="92"/>
      <c r="G185" s="92"/>
      <c r="H185" s="92"/>
      <c r="I185" s="92"/>
      <c r="J185" s="92"/>
      <c r="K185" s="92"/>
      <c r="L185" s="235"/>
      <c r="M185" s="235"/>
      <c r="N185" s="235"/>
      <c r="O185" s="235"/>
      <c r="P185" s="235"/>
      <c r="Q185" s="235"/>
      <c r="R185" s="235"/>
      <c r="S185" s="235"/>
      <c r="T185" s="235"/>
      <c r="U185" s="235"/>
      <c r="V185" s="235"/>
      <c r="W185" s="235"/>
      <c r="X185" s="235"/>
      <c r="Y185" s="235"/>
      <c r="Z185" s="235"/>
    </row>
    <row r="186" ht="12.75" customHeight="1">
      <c r="A186" s="92"/>
      <c r="B186" s="92"/>
      <c r="C186" s="92"/>
      <c r="D186" s="230" t="s">
        <v>1168</v>
      </c>
      <c r="E186" s="230"/>
      <c r="F186" s="92"/>
      <c r="G186" s="92"/>
      <c r="H186" s="92"/>
      <c r="I186" s="92"/>
      <c r="J186" s="92"/>
      <c r="K186" s="92"/>
      <c r="L186" s="235"/>
      <c r="M186" s="235"/>
      <c r="N186" s="235"/>
      <c r="O186" s="235"/>
      <c r="P186" s="235"/>
      <c r="Q186" s="235"/>
      <c r="R186" s="235"/>
      <c r="S186" s="235"/>
      <c r="T186" s="235"/>
      <c r="U186" s="235"/>
      <c r="V186" s="235"/>
      <c r="W186" s="235"/>
      <c r="X186" s="235"/>
      <c r="Y186" s="235"/>
      <c r="Z186" s="235"/>
    </row>
    <row r="187" ht="12.75" customHeight="1">
      <c r="A187" s="92"/>
      <c r="B187" s="92"/>
      <c r="C187" s="92"/>
      <c r="D187" s="230" t="s">
        <v>1151</v>
      </c>
      <c r="E187" s="230"/>
      <c r="F187" s="92"/>
      <c r="G187" s="92"/>
      <c r="H187" s="92"/>
      <c r="I187" s="92"/>
      <c r="J187" s="92"/>
      <c r="K187" s="92"/>
      <c r="L187" s="235"/>
      <c r="M187" s="235"/>
      <c r="N187" s="235"/>
      <c r="O187" s="235"/>
      <c r="P187" s="235"/>
      <c r="Q187" s="235"/>
      <c r="R187" s="235"/>
      <c r="S187" s="235"/>
      <c r="T187" s="235"/>
      <c r="U187" s="235"/>
      <c r="V187" s="235"/>
      <c r="W187" s="235"/>
      <c r="X187" s="235"/>
      <c r="Y187" s="235"/>
      <c r="Z187" s="235"/>
    </row>
    <row r="188" ht="12.75" customHeight="1">
      <c r="A188" s="21"/>
      <c r="B188" s="21"/>
      <c r="C188" s="21"/>
      <c r="D188" s="230" t="s">
        <v>1169</v>
      </c>
      <c r="E188" s="230"/>
      <c r="F188" s="21"/>
      <c r="G188" s="21"/>
      <c r="H188" s="21"/>
      <c r="I188" s="21"/>
      <c r="J188" s="21"/>
      <c r="K188" s="21"/>
      <c r="L188" s="235"/>
      <c r="M188" s="235"/>
      <c r="N188" s="235"/>
      <c r="O188" s="235"/>
      <c r="P188" s="235"/>
      <c r="Q188" s="235"/>
      <c r="R188" s="235"/>
      <c r="S188" s="235"/>
      <c r="T188" s="235"/>
      <c r="U188" s="235"/>
      <c r="V188" s="235"/>
      <c r="W188" s="235"/>
      <c r="X188" s="235"/>
      <c r="Y188" s="235"/>
      <c r="Z188" s="235"/>
    </row>
    <row r="189" ht="12.75" customHeight="1">
      <c r="A189" s="230" t="s">
        <v>1170</v>
      </c>
      <c r="B189" s="230"/>
      <c r="C189" s="230"/>
      <c r="D189" s="230"/>
      <c r="E189" s="230"/>
      <c r="F189" s="230"/>
      <c r="G189" s="230"/>
      <c r="H189" s="230"/>
      <c r="I189" s="230"/>
      <c r="J189" s="230"/>
      <c r="K189" s="230"/>
      <c r="L189" s="235"/>
      <c r="M189" s="235"/>
      <c r="N189" s="235"/>
      <c r="O189" s="235"/>
      <c r="P189" s="235"/>
      <c r="Q189" s="235"/>
      <c r="R189" s="235"/>
      <c r="S189" s="235"/>
      <c r="T189" s="235"/>
      <c r="U189" s="235"/>
      <c r="V189" s="235"/>
      <c r="W189" s="235"/>
      <c r="X189" s="235"/>
      <c r="Y189" s="235"/>
      <c r="Z189" s="235"/>
    </row>
    <row r="190" ht="12.75" customHeight="1">
      <c r="A190" s="231" t="s">
        <v>1171</v>
      </c>
      <c r="B190" s="231" t="s">
        <v>1172</v>
      </c>
      <c r="C190" s="231" t="s">
        <v>1173</v>
      </c>
      <c r="D190" s="230" t="s">
        <v>1174</v>
      </c>
      <c r="E190" s="230" t="s">
        <v>1175</v>
      </c>
      <c r="F190" s="231" t="s">
        <v>1176</v>
      </c>
      <c r="G190" s="231"/>
      <c r="H190" s="231" t="s">
        <v>1177</v>
      </c>
      <c r="I190" s="231" t="s">
        <v>168</v>
      </c>
      <c r="J190" s="297">
        <v>46100.0</v>
      </c>
      <c r="K190" s="231"/>
      <c r="L190" s="235"/>
      <c r="M190" s="235"/>
      <c r="N190" s="235"/>
      <c r="O190" s="235"/>
      <c r="P190" s="235"/>
      <c r="Q190" s="235"/>
      <c r="R190" s="235"/>
      <c r="S190" s="235"/>
      <c r="T190" s="235"/>
      <c r="U190" s="235"/>
      <c r="V190" s="235"/>
      <c r="W190" s="235"/>
      <c r="X190" s="235"/>
      <c r="Y190" s="235"/>
      <c r="Z190" s="235"/>
    </row>
    <row r="191" ht="12.75" customHeight="1">
      <c r="A191" s="92"/>
      <c r="B191" s="92"/>
      <c r="C191" s="92"/>
      <c r="D191" s="230" t="s">
        <v>1178</v>
      </c>
      <c r="E191" s="230" t="s">
        <v>1179</v>
      </c>
      <c r="F191" s="92"/>
      <c r="G191" s="92"/>
      <c r="H191" s="92"/>
      <c r="I191" s="92"/>
      <c r="J191" s="92"/>
      <c r="K191" s="92"/>
      <c r="L191" s="235"/>
      <c r="M191" s="235"/>
      <c r="N191" s="235"/>
      <c r="O191" s="235"/>
      <c r="P191" s="235"/>
      <c r="Q191" s="235"/>
      <c r="R191" s="235"/>
      <c r="S191" s="235"/>
      <c r="T191" s="235"/>
      <c r="U191" s="235"/>
      <c r="V191" s="235"/>
      <c r="W191" s="235"/>
      <c r="X191" s="235"/>
      <c r="Y191" s="235"/>
      <c r="Z191" s="235"/>
    </row>
    <row r="192" ht="12.75" customHeight="1">
      <c r="A192" s="92"/>
      <c r="B192" s="92"/>
      <c r="C192" s="92"/>
      <c r="D192" s="230" t="s">
        <v>1180</v>
      </c>
      <c r="E192" s="230"/>
      <c r="F192" s="92"/>
      <c r="G192" s="92"/>
      <c r="H192" s="92"/>
      <c r="I192" s="92"/>
      <c r="J192" s="92"/>
      <c r="K192" s="92"/>
      <c r="L192" s="235"/>
      <c r="M192" s="235"/>
      <c r="N192" s="235"/>
      <c r="O192" s="235"/>
      <c r="P192" s="235"/>
      <c r="Q192" s="235"/>
      <c r="R192" s="235"/>
      <c r="S192" s="235"/>
      <c r="T192" s="235"/>
      <c r="U192" s="235"/>
      <c r="V192" s="235"/>
      <c r="W192" s="235"/>
      <c r="X192" s="235"/>
      <c r="Y192" s="235"/>
      <c r="Z192" s="235"/>
    </row>
    <row r="193" ht="12.75" customHeight="1">
      <c r="A193" s="92"/>
      <c r="B193" s="92"/>
      <c r="C193" s="92"/>
      <c r="D193" s="230" t="s">
        <v>1127</v>
      </c>
      <c r="E193" s="230"/>
      <c r="F193" s="92"/>
      <c r="G193" s="92"/>
      <c r="H193" s="92"/>
      <c r="I193" s="92"/>
      <c r="J193" s="92"/>
      <c r="K193" s="92"/>
      <c r="L193" s="235"/>
      <c r="M193" s="235"/>
      <c r="N193" s="235"/>
      <c r="O193" s="235"/>
      <c r="P193" s="235"/>
      <c r="Q193" s="235"/>
      <c r="R193" s="235"/>
      <c r="S193" s="235"/>
      <c r="T193" s="235"/>
      <c r="U193" s="235"/>
      <c r="V193" s="235"/>
      <c r="W193" s="235"/>
      <c r="X193" s="235"/>
      <c r="Y193" s="235"/>
      <c r="Z193" s="235"/>
    </row>
    <row r="194" ht="12.75" customHeight="1">
      <c r="A194" s="21"/>
      <c r="B194" s="21"/>
      <c r="C194" s="21"/>
      <c r="D194" s="230" t="s">
        <v>1181</v>
      </c>
      <c r="E194" s="230"/>
      <c r="F194" s="21"/>
      <c r="G194" s="21"/>
      <c r="H194" s="21"/>
      <c r="I194" s="21"/>
      <c r="J194" s="21"/>
      <c r="K194" s="21"/>
      <c r="L194" s="235"/>
      <c r="M194" s="235"/>
      <c r="N194" s="235"/>
      <c r="O194" s="235"/>
      <c r="P194" s="235"/>
      <c r="Q194" s="235"/>
      <c r="R194" s="235"/>
      <c r="S194" s="235"/>
      <c r="T194" s="235"/>
      <c r="U194" s="235"/>
      <c r="V194" s="235"/>
      <c r="W194" s="235"/>
      <c r="X194" s="235"/>
      <c r="Y194" s="235"/>
      <c r="Z194" s="235"/>
    </row>
    <row r="195" ht="12.75" customHeight="1">
      <c r="A195" s="231" t="s">
        <v>1182</v>
      </c>
      <c r="B195" s="231" t="s">
        <v>1183</v>
      </c>
      <c r="C195" s="231" t="s">
        <v>1184</v>
      </c>
      <c r="D195" s="230" t="s">
        <v>1185</v>
      </c>
      <c r="E195" s="230" t="s">
        <v>1186</v>
      </c>
      <c r="F195" s="231" t="s">
        <v>1187</v>
      </c>
      <c r="G195" s="231"/>
      <c r="H195" s="231" t="s">
        <v>1188</v>
      </c>
      <c r="I195" s="231" t="s">
        <v>168</v>
      </c>
      <c r="J195" s="297">
        <v>46101.0</v>
      </c>
      <c r="K195" s="231"/>
      <c r="L195" s="235"/>
      <c r="M195" s="235"/>
      <c r="N195" s="235"/>
      <c r="O195" s="235"/>
      <c r="P195" s="235"/>
      <c r="Q195" s="235"/>
      <c r="R195" s="235"/>
      <c r="S195" s="235"/>
      <c r="T195" s="235"/>
      <c r="U195" s="235"/>
      <c r="V195" s="235"/>
      <c r="W195" s="235"/>
      <c r="X195" s="235"/>
      <c r="Y195" s="235"/>
      <c r="Z195" s="235"/>
    </row>
    <row r="196" ht="12.75" customHeight="1">
      <c r="A196" s="92"/>
      <c r="B196" s="92"/>
      <c r="C196" s="92"/>
      <c r="D196" s="230" t="s">
        <v>1189</v>
      </c>
      <c r="E196" s="230" t="s">
        <v>1190</v>
      </c>
      <c r="F196" s="92"/>
      <c r="G196" s="92"/>
      <c r="H196" s="92"/>
      <c r="I196" s="92"/>
      <c r="J196" s="92"/>
      <c r="K196" s="92"/>
      <c r="L196" s="235"/>
      <c r="M196" s="235"/>
      <c r="N196" s="235"/>
      <c r="O196" s="235"/>
      <c r="P196" s="235"/>
      <c r="Q196" s="235"/>
      <c r="R196" s="235"/>
      <c r="S196" s="235"/>
      <c r="T196" s="235"/>
      <c r="U196" s="235"/>
      <c r="V196" s="235"/>
      <c r="W196" s="235"/>
      <c r="X196" s="235"/>
      <c r="Y196" s="235"/>
      <c r="Z196" s="235"/>
    </row>
    <row r="197" ht="12.75" customHeight="1">
      <c r="A197" s="92"/>
      <c r="B197" s="92"/>
      <c r="C197" s="92"/>
      <c r="D197" s="230" t="s">
        <v>1191</v>
      </c>
      <c r="E197" s="230" t="s">
        <v>1192</v>
      </c>
      <c r="F197" s="92"/>
      <c r="G197" s="92"/>
      <c r="H197" s="92"/>
      <c r="I197" s="92"/>
      <c r="J197" s="92"/>
      <c r="K197" s="92"/>
      <c r="L197" s="235"/>
      <c r="M197" s="235"/>
      <c r="N197" s="235"/>
      <c r="O197" s="235"/>
      <c r="P197" s="235"/>
      <c r="Q197" s="235"/>
      <c r="R197" s="235"/>
      <c r="S197" s="235"/>
      <c r="T197" s="235"/>
      <c r="U197" s="235"/>
      <c r="V197" s="235"/>
      <c r="W197" s="235"/>
      <c r="X197" s="235"/>
      <c r="Y197" s="235"/>
      <c r="Z197" s="235"/>
    </row>
    <row r="198" ht="12.75" customHeight="1">
      <c r="A198" s="92"/>
      <c r="B198" s="92"/>
      <c r="C198" s="92"/>
      <c r="D198" s="230" t="s">
        <v>1193</v>
      </c>
      <c r="E198" s="230"/>
      <c r="F198" s="92"/>
      <c r="G198" s="92"/>
      <c r="H198" s="92"/>
      <c r="I198" s="92"/>
      <c r="J198" s="92"/>
      <c r="K198" s="92"/>
      <c r="L198" s="235"/>
      <c r="M198" s="235"/>
      <c r="N198" s="235"/>
      <c r="O198" s="235"/>
      <c r="P198" s="235"/>
      <c r="Q198" s="235"/>
      <c r="R198" s="235"/>
      <c r="S198" s="235"/>
      <c r="T198" s="235"/>
      <c r="U198" s="235"/>
      <c r="V198" s="235"/>
      <c r="W198" s="235"/>
      <c r="X198" s="235"/>
      <c r="Y198" s="235"/>
      <c r="Z198" s="235"/>
    </row>
    <row r="199" ht="12.75" customHeight="1">
      <c r="A199" s="92"/>
      <c r="B199" s="92"/>
      <c r="C199" s="92"/>
      <c r="D199" s="230" t="s">
        <v>1194</v>
      </c>
      <c r="E199" s="230"/>
      <c r="F199" s="92"/>
      <c r="G199" s="92"/>
      <c r="H199" s="92"/>
      <c r="I199" s="92"/>
      <c r="J199" s="92"/>
      <c r="K199" s="92"/>
      <c r="L199" s="235"/>
      <c r="M199" s="235"/>
      <c r="N199" s="235"/>
      <c r="O199" s="235"/>
      <c r="P199" s="235"/>
      <c r="Q199" s="235"/>
      <c r="R199" s="235"/>
      <c r="S199" s="235"/>
      <c r="T199" s="235"/>
      <c r="U199" s="235"/>
      <c r="V199" s="235"/>
      <c r="W199" s="235"/>
      <c r="X199" s="235"/>
      <c r="Y199" s="235"/>
      <c r="Z199" s="235"/>
    </row>
    <row r="200" ht="12.75" customHeight="1">
      <c r="A200" s="21"/>
      <c r="B200" s="21"/>
      <c r="C200" s="21"/>
      <c r="D200" s="230" t="s">
        <v>1195</v>
      </c>
      <c r="E200" s="230"/>
      <c r="F200" s="21"/>
      <c r="G200" s="21"/>
      <c r="H200" s="21"/>
      <c r="I200" s="21"/>
      <c r="J200" s="21"/>
      <c r="K200" s="21"/>
      <c r="L200" s="235"/>
      <c r="M200" s="235"/>
      <c r="N200" s="235"/>
      <c r="O200" s="235"/>
      <c r="P200" s="235"/>
      <c r="Q200" s="299"/>
      <c r="R200" s="235"/>
      <c r="S200" s="235"/>
      <c r="T200" s="235"/>
      <c r="U200" s="235"/>
      <c r="V200" s="235"/>
      <c r="W200" s="235"/>
      <c r="X200" s="235"/>
      <c r="Y200" s="235"/>
      <c r="Z200" s="235"/>
    </row>
    <row r="201" ht="12.75" customHeight="1">
      <c r="A201" s="230" t="s">
        <v>1196</v>
      </c>
      <c r="B201" s="230"/>
      <c r="C201" s="230"/>
      <c r="D201" s="230"/>
      <c r="E201" s="230"/>
      <c r="F201" s="230"/>
      <c r="G201" s="230"/>
      <c r="H201" s="230"/>
      <c r="I201" s="230"/>
      <c r="J201" s="230"/>
      <c r="K201" s="230"/>
      <c r="L201" s="235"/>
      <c r="M201" s="235"/>
      <c r="N201" s="235"/>
      <c r="O201" s="235"/>
      <c r="P201" s="235"/>
      <c r="Q201" s="235"/>
      <c r="R201" s="235"/>
      <c r="S201" s="235"/>
      <c r="T201" s="235"/>
      <c r="U201" s="235"/>
      <c r="V201" s="235"/>
      <c r="W201" s="235"/>
      <c r="X201" s="235"/>
      <c r="Y201" s="235"/>
      <c r="Z201" s="235"/>
    </row>
    <row r="202" ht="12.75" customHeight="1">
      <c r="A202" s="231" t="s">
        <v>1197</v>
      </c>
      <c r="B202" s="231" t="s">
        <v>1198</v>
      </c>
      <c r="C202" s="231" t="s">
        <v>1199</v>
      </c>
      <c r="D202" s="230" t="s">
        <v>1200</v>
      </c>
      <c r="E202" s="230" t="s">
        <v>1201</v>
      </c>
      <c r="F202" s="231" t="s">
        <v>1202</v>
      </c>
      <c r="G202" s="231"/>
      <c r="H202" s="231" t="s">
        <v>1188</v>
      </c>
      <c r="I202" s="231" t="s">
        <v>168</v>
      </c>
      <c r="J202" s="297">
        <v>46101.0</v>
      </c>
      <c r="K202" s="231"/>
      <c r="L202" s="235"/>
      <c r="M202" s="235"/>
      <c r="N202" s="235"/>
      <c r="O202" s="235"/>
      <c r="P202" s="235"/>
      <c r="Q202" s="235"/>
      <c r="R202" s="235"/>
      <c r="S202" s="235"/>
      <c r="T202" s="235"/>
      <c r="U202" s="235"/>
      <c r="V202" s="235"/>
      <c r="W202" s="235"/>
      <c r="X202" s="235"/>
      <c r="Y202" s="235"/>
      <c r="Z202" s="235"/>
    </row>
    <row r="203" ht="12.75" customHeight="1">
      <c r="A203" s="92"/>
      <c r="B203" s="92"/>
      <c r="C203" s="92"/>
      <c r="D203" s="230" t="s">
        <v>1203</v>
      </c>
      <c r="E203" s="230" t="s">
        <v>1204</v>
      </c>
      <c r="F203" s="92"/>
      <c r="G203" s="92"/>
      <c r="H203" s="92"/>
      <c r="I203" s="92"/>
      <c r="J203" s="92"/>
      <c r="K203" s="92"/>
      <c r="L203" s="235"/>
      <c r="M203" s="235"/>
      <c r="N203" s="235"/>
      <c r="O203" s="235"/>
      <c r="P203" s="235"/>
      <c r="Q203" s="235"/>
      <c r="R203" s="235"/>
      <c r="S203" s="235"/>
      <c r="T203" s="235"/>
      <c r="U203" s="235"/>
      <c r="V203" s="235"/>
      <c r="W203" s="235"/>
      <c r="X203" s="235"/>
      <c r="Y203" s="235"/>
      <c r="Z203" s="235"/>
    </row>
    <row r="204" ht="12.75" customHeight="1">
      <c r="A204" s="92"/>
      <c r="B204" s="92"/>
      <c r="C204" s="92"/>
      <c r="D204" s="230" t="s">
        <v>1205</v>
      </c>
      <c r="E204" s="230"/>
      <c r="F204" s="92"/>
      <c r="G204" s="92"/>
      <c r="H204" s="92"/>
      <c r="I204" s="92"/>
      <c r="J204" s="92"/>
      <c r="K204" s="92"/>
      <c r="L204" s="235"/>
      <c r="M204" s="235"/>
      <c r="N204" s="235"/>
      <c r="O204" s="235"/>
      <c r="P204" s="235"/>
      <c r="Q204" s="235"/>
      <c r="R204" s="235"/>
      <c r="S204" s="235"/>
      <c r="T204" s="235"/>
      <c r="U204" s="235"/>
      <c r="V204" s="235"/>
      <c r="W204" s="235"/>
      <c r="X204" s="235"/>
      <c r="Y204" s="235"/>
      <c r="Z204" s="235"/>
    </row>
    <row r="205" ht="12.75" customHeight="1">
      <c r="A205" s="92"/>
      <c r="B205" s="92"/>
      <c r="C205" s="92"/>
      <c r="D205" s="230" t="s">
        <v>1206</v>
      </c>
      <c r="E205" s="230"/>
      <c r="F205" s="92"/>
      <c r="G205" s="92"/>
      <c r="H205" s="92"/>
      <c r="I205" s="92"/>
      <c r="J205" s="92"/>
      <c r="K205" s="92"/>
      <c r="L205" s="235"/>
      <c r="M205" s="235"/>
      <c r="N205" s="235"/>
      <c r="O205" s="235"/>
      <c r="P205" s="235"/>
      <c r="Q205" s="235"/>
      <c r="R205" s="235"/>
      <c r="S205" s="235"/>
      <c r="T205" s="235"/>
      <c r="U205" s="235"/>
      <c r="V205" s="235"/>
      <c r="W205" s="235"/>
      <c r="X205" s="235"/>
      <c r="Y205" s="235"/>
      <c r="Z205" s="235"/>
    </row>
    <row r="206" ht="12.75" customHeight="1">
      <c r="A206" s="21"/>
      <c r="B206" s="21"/>
      <c r="C206" s="21"/>
      <c r="D206" s="230" t="s">
        <v>1207</v>
      </c>
      <c r="E206" s="230"/>
      <c r="F206" s="21"/>
      <c r="G206" s="21"/>
      <c r="H206" s="21"/>
      <c r="I206" s="21"/>
      <c r="J206" s="21"/>
      <c r="K206" s="21"/>
      <c r="L206" s="235"/>
      <c r="M206" s="235"/>
      <c r="N206" s="235"/>
      <c r="O206" s="235"/>
      <c r="P206" s="235"/>
      <c r="Q206" s="235"/>
      <c r="R206" s="235"/>
      <c r="S206" s="235"/>
      <c r="T206" s="235"/>
      <c r="U206" s="235"/>
      <c r="V206" s="235"/>
      <c r="W206" s="235"/>
      <c r="X206" s="235"/>
      <c r="Y206" s="235"/>
      <c r="Z206" s="235"/>
    </row>
    <row r="207" ht="12.75" customHeight="1">
      <c r="A207" s="231" t="s">
        <v>1208</v>
      </c>
      <c r="B207" s="231" t="s">
        <v>1209</v>
      </c>
      <c r="C207" s="231" t="s">
        <v>1210</v>
      </c>
      <c r="D207" s="230" t="s">
        <v>1200</v>
      </c>
      <c r="E207" s="230" t="s">
        <v>1201</v>
      </c>
      <c r="F207" s="231" t="s">
        <v>1211</v>
      </c>
      <c r="G207" s="231"/>
      <c r="H207" s="231" t="s">
        <v>1188</v>
      </c>
      <c r="I207" s="231" t="s">
        <v>168</v>
      </c>
      <c r="J207" s="297">
        <v>46102.0</v>
      </c>
      <c r="K207" s="231"/>
      <c r="L207" s="235"/>
      <c r="M207" s="235"/>
      <c r="N207" s="235"/>
      <c r="O207" s="235"/>
      <c r="P207" s="235"/>
      <c r="Q207" s="235"/>
      <c r="R207" s="235"/>
      <c r="S207" s="235"/>
      <c r="T207" s="235"/>
      <c r="U207" s="235"/>
      <c r="V207" s="235"/>
      <c r="W207" s="235"/>
      <c r="X207" s="235"/>
      <c r="Y207" s="235"/>
      <c r="Z207" s="235"/>
    </row>
    <row r="208" ht="12.75" customHeight="1">
      <c r="A208" s="92"/>
      <c r="B208" s="92"/>
      <c r="C208" s="92"/>
      <c r="D208" s="230" t="s">
        <v>1212</v>
      </c>
      <c r="E208" s="230" t="s">
        <v>1213</v>
      </c>
      <c r="F208" s="92"/>
      <c r="G208" s="92"/>
      <c r="H208" s="92"/>
      <c r="I208" s="92"/>
      <c r="J208" s="92"/>
      <c r="K208" s="92"/>
      <c r="L208" s="235"/>
      <c r="M208" s="235"/>
      <c r="N208" s="235"/>
      <c r="O208" s="235"/>
      <c r="P208" s="235"/>
      <c r="Q208" s="235"/>
      <c r="R208" s="235"/>
      <c r="S208" s="235"/>
      <c r="T208" s="235"/>
      <c r="U208" s="235"/>
      <c r="V208" s="235"/>
      <c r="W208" s="235"/>
      <c r="X208" s="235"/>
      <c r="Y208" s="235"/>
      <c r="Z208" s="235"/>
    </row>
    <row r="209" ht="12.75" customHeight="1">
      <c r="A209" s="92"/>
      <c r="B209" s="92"/>
      <c r="C209" s="92"/>
      <c r="D209" s="230" t="s">
        <v>1214</v>
      </c>
      <c r="E209" s="230"/>
      <c r="F209" s="92"/>
      <c r="G209" s="92"/>
      <c r="H209" s="92"/>
      <c r="I209" s="92"/>
      <c r="J209" s="92"/>
      <c r="K209" s="92"/>
      <c r="L209" s="235"/>
      <c r="M209" s="235"/>
      <c r="N209" s="235"/>
      <c r="O209" s="235"/>
      <c r="P209" s="235"/>
      <c r="Q209" s="235"/>
      <c r="R209" s="235"/>
      <c r="S209" s="235"/>
      <c r="T209" s="235"/>
      <c r="U209" s="235"/>
      <c r="V209" s="235"/>
      <c r="W209" s="235"/>
      <c r="X209" s="235"/>
      <c r="Y209" s="235"/>
      <c r="Z209" s="235"/>
    </row>
    <row r="210" ht="12.75" customHeight="1">
      <c r="A210" s="21"/>
      <c r="B210" s="21"/>
      <c r="C210" s="21"/>
      <c r="D210" s="230" t="s">
        <v>1215</v>
      </c>
      <c r="E210" s="230"/>
      <c r="F210" s="21"/>
      <c r="G210" s="21"/>
      <c r="H210" s="21"/>
      <c r="I210" s="21"/>
      <c r="J210" s="21"/>
      <c r="K210" s="21"/>
      <c r="L210" s="235"/>
      <c r="M210" s="235"/>
      <c r="N210" s="235"/>
      <c r="O210" s="235"/>
      <c r="P210" s="235"/>
      <c r="Q210" s="235"/>
      <c r="R210" s="235"/>
      <c r="S210" s="235"/>
      <c r="T210" s="235"/>
      <c r="U210" s="235"/>
      <c r="V210" s="235"/>
      <c r="W210" s="235"/>
      <c r="X210" s="235"/>
      <c r="Y210" s="235"/>
      <c r="Z210" s="235"/>
    </row>
    <row r="211" ht="12.75" customHeight="1">
      <c r="A211" s="230" t="s">
        <v>1216</v>
      </c>
      <c r="B211" s="230"/>
      <c r="C211" s="230"/>
      <c r="D211" s="230"/>
      <c r="E211" s="230"/>
      <c r="F211" s="230"/>
      <c r="G211" s="230"/>
      <c r="H211" s="230"/>
      <c r="I211" s="230"/>
      <c r="J211" s="230"/>
      <c r="K211" s="230"/>
      <c r="L211" s="235"/>
      <c r="M211" s="235"/>
      <c r="N211" s="235"/>
      <c r="O211" s="235"/>
      <c r="P211" s="235"/>
      <c r="Q211" s="235"/>
      <c r="R211" s="235"/>
      <c r="S211" s="235"/>
      <c r="T211" s="235"/>
      <c r="U211" s="235"/>
      <c r="V211" s="235"/>
      <c r="W211" s="235"/>
      <c r="X211" s="235"/>
      <c r="Y211" s="235"/>
      <c r="Z211" s="235"/>
    </row>
    <row r="212" ht="12.75" customHeight="1">
      <c r="A212" s="231" t="s">
        <v>1217</v>
      </c>
      <c r="B212" s="231" t="s">
        <v>1218</v>
      </c>
      <c r="C212" s="231" t="s">
        <v>1219</v>
      </c>
      <c r="D212" s="230" t="s">
        <v>1220</v>
      </c>
      <c r="E212" s="230" t="s">
        <v>1221</v>
      </c>
      <c r="F212" s="231" t="s">
        <v>1222</v>
      </c>
      <c r="G212" s="231"/>
      <c r="H212" s="231" t="s">
        <v>1188</v>
      </c>
      <c r="I212" s="231" t="s">
        <v>168</v>
      </c>
      <c r="J212" s="297">
        <v>46103.0</v>
      </c>
      <c r="K212" s="231"/>
      <c r="L212" s="235"/>
      <c r="M212" s="235"/>
      <c r="N212" s="235"/>
      <c r="O212" s="235"/>
      <c r="P212" s="235"/>
      <c r="Q212" s="235"/>
      <c r="R212" s="235"/>
      <c r="S212" s="235"/>
      <c r="T212" s="235"/>
      <c r="U212" s="235"/>
      <c r="V212" s="235"/>
      <c r="W212" s="235"/>
      <c r="X212" s="235"/>
      <c r="Y212" s="235"/>
      <c r="Z212" s="235"/>
    </row>
    <row r="213" ht="12.75" customHeight="1">
      <c r="A213" s="92"/>
      <c r="B213" s="92"/>
      <c r="C213" s="92"/>
      <c r="D213" s="230" t="s">
        <v>1223</v>
      </c>
      <c r="E213" s="230" t="s">
        <v>1224</v>
      </c>
      <c r="F213" s="92"/>
      <c r="G213" s="92"/>
      <c r="H213" s="92"/>
      <c r="I213" s="92"/>
      <c r="J213" s="92"/>
      <c r="K213" s="92"/>
      <c r="L213" s="235"/>
      <c r="M213" s="235"/>
      <c r="N213" s="235"/>
      <c r="O213" s="235"/>
      <c r="P213" s="235"/>
      <c r="Q213" s="235"/>
      <c r="R213" s="235"/>
      <c r="S213" s="235"/>
      <c r="T213" s="235"/>
      <c r="U213" s="235"/>
      <c r="V213" s="235"/>
      <c r="W213" s="235"/>
      <c r="X213" s="235"/>
      <c r="Y213" s="235"/>
      <c r="Z213" s="235"/>
    </row>
    <row r="214" ht="12.75" customHeight="1">
      <c r="A214" s="92"/>
      <c r="B214" s="92"/>
      <c r="C214" s="92"/>
      <c r="D214" s="230" t="s">
        <v>1225</v>
      </c>
      <c r="E214" s="230" t="s">
        <v>1226</v>
      </c>
      <c r="F214" s="92"/>
      <c r="G214" s="92"/>
      <c r="H214" s="92"/>
      <c r="I214" s="92"/>
      <c r="J214" s="92"/>
      <c r="K214" s="92"/>
      <c r="L214" s="235"/>
      <c r="M214" s="235"/>
      <c r="N214" s="235"/>
      <c r="O214" s="235"/>
      <c r="P214" s="235"/>
      <c r="Q214" s="235"/>
      <c r="R214" s="235"/>
      <c r="S214" s="235"/>
      <c r="T214" s="235"/>
      <c r="U214" s="235"/>
      <c r="V214" s="235"/>
      <c r="W214" s="235"/>
      <c r="X214" s="235"/>
      <c r="Y214" s="235"/>
      <c r="Z214" s="235"/>
    </row>
    <row r="215" ht="12.75" customHeight="1">
      <c r="A215" s="92"/>
      <c r="B215" s="92"/>
      <c r="C215" s="92"/>
      <c r="D215" s="230" t="s">
        <v>1227</v>
      </c>
      <c r="E215" s="230"/>
      <c r="F215" s="92"/>
      <c r="G215" s="92"/>
      <c r="H215" s="92"/>
      <c r="I215" s="92"/>
      <c r="J215" s="92"/>
      <c r="K215" s="92"/>
      <c r="L215" s="235"/>
      <c r="M215" s="235"/>
      <c r="N215" s="235"/>
      <c r="O215" s="235"/>
      <c r="P215" s="235"/>
      <c r="Q215" s="235"/>
      <c r="R215" s="235"/>
      <c r="S215" s="235"/>
      <c r="T215" s="235"/>
      <c r="U215" s="235"/>
      <c r="V215" s="235"/>
      <c r="W215" s="235"/>
      <c r="X215" s="235"/>
      <c r="Y215" s="235"/>
      <c r="Z215" s="235"/>
    </row>
    <row r="216" ht="12.75" customHeight="1">
      <c r="A216" s="21"/>
      <c r="B216" s="21"/>
      <c r="C216" s="21"/>
      <c r="D216" s="230" t="s">
        <v>1228</v>
      </c>
      <c r="E216" s="230"/>
      <c r="F216" s="21"/>
      <c r="G216" s="21"/>
      <c r="H216" s="21"/>
      <c r="I216" s="21"/>
      <c r="J216" s="21"/>
      <c r="K216" s="21"/>
      <c r="L216" s="235"/>
      <c r="M216" s="235"/>
      <c r="N216" s="235"/>
      <c r="O216" s="235"/>
      <c r="P216" s="235"/>
      <c r="Q216" s="235"/>
      <c r="R216" s="235"/>
      <c r="S216" s="235"/>
      <c r="T216" s="235"/>
      <c r="U216" s="235"/>
      <c r="V216" s="235"/>
      <c r="W216" s="235"/>
      <c r="X216" s="235"/>
      <c r="Y216" s="235"/>
      <c r="Z216" s="235"/>
    </row>
    <row r="217" ht="12.75" customHeight="1">
      <c r="A217" s="231" t="s">
        <v>1229</v>
      </c>
      <c r="B217" s="231" t="s">
        <v>1230</v>
      </c>
      <c r="C217" s="231" t="s">
        <v>1231</v>
      </c>
      <c r="D217" s="230" t="s">
        <v>1220</v>
      </c>
      <c r="E217" s="230" t="s">
        <v>1224</v>
      </c>
      <c r="F217" s="231" t="s">
        <v>1232</v>
      </c>
      <c r="G217" s="231"/>
      <c r="H217" s="231" t="s">
        <v>1188</v>
      </c>
      <c r="I217" s="231" t="s">
        <v>168</v>
      </c>
      <c r="J217" s="297">
        <v>46103.0</v>
      </c>
      <c r="K217" s="300"/>
      <c r="L217" s="235"/>
      <c r="M217" s="235"/>
      <c r="N217" s="235"/>
      <c r="O217" s="235"/>
      <c r="P217" s="235"/>
      <c r="Q217" s="235"/>
      <c r="R217" s="235"/>
      <c r="S217" s="235"/>
      <c r="T217" s="235"/>
      <c r="U217" s="235"/>
      <c r="V217" s="235"/>
      <c r="W217" s="235"/>
      <c r="X217" s="235"/>
      <c r="Y217" s="235"/>
      <c r="Z217" s="235"/>
    </row>
    <row r="218" ht="12.75" customHeight="1">
      <c r="A218" s="92"/>
      <c r="B218" s="92"/>
      <c r="C218" s="92"/>
      <c r="D218" s="230" t="s">
        <v>1223</v>
      </c>
      <c r="E218" s="230" t="s">
        <v>1233</v>
      </c>
      <c r="F218" s="92"/>
      <c r="G218" s="92"/>
      <c r="H218" s="92"/>
      <c r="I218" s="92"/>
      <c r="J218" s="92"/>
      <c r="K218" s="300"/>
      <c r="L218" s="235"/>
      <c r="M218" s="235"/>
      <c r="N218" s="235"/>
      <c r="O218" s="235"/>
      <c r="P218" s="235"/>
      <c r="Q218" s="235"/>
      <c r="R218" s="235"/>
      <c r="S218" s="235"/>
      <c r="T218" s="235"/>
      <c r="U218" s="235"/>
      <c r="V218" s="235"/>
      <c r="W218" s="235"/>
      <c r="X218" s="235"/>
      <c r="Y218" s="235"/>
      <c r="Z218" s="235"/>
    </row>
    <row r="219" ht="12.75" customHeight="1">
      <c r="A219" s="92"/>
      <c r="B219" s="92"/>
      <c r="C219" s="92"/>
      <c r="D219" s="230" t="s">
        <v>1234</v>
      </c>
      <c r="E219" s="230"/>
      <c r="F219" s="92"/>
      <c r="G219" s="92"/>
      <c r="H219" s="92"/>
      <c r="I219" s="92"/>
      <c r="J219" s="92"/>
      <c r="K219" s="143"/>
      <c r="L219" s="235"/>
      <c r="M219" s="235"/>
      <c r="N219" s="235"/>
      <c r="O219" s="235"/>
      <c r="P219" s="235"/>
      <c r="Q219" s="235"/>
      <c r="R219" s="235"/>
      <c r="S219" s="235"/>
      <c r="T219" s="235"/>
      <c r="U219" s="235"/>
      <c r="V219" s="235"/>
      <c r="W219" s="235"/>
      <c r="X219" s="235"/>
      <c r="Y219" s="235"/>
      <c r="Z219" s="235"/>
    </row>
    <row r="220" ht="12.75" customHeight="1">
      <c r="A220" s="92"/>
      <c r="B220" s="92"/>
      <c r="C220" s="92"/>
      <c r="D220" s="230" t="s">
        <v>1227</v>
      </c>
      <c r="E220" s="230"/>
      <c r="F220" s="92"/>
      <c r="G220" s="92"/>
      <c r="H220" s="92"/>
      <c r="I220" s="92"/>
      <c r="J220" s="92"/>
      <c r="K220" s="300"/>
      <c r="L220" s="235"/>
      <c r="M220" s="235"/>
      <c r="N220" s="235"/>
      <c r="O220" s="235"/>
      <c r="P220" s="235"/>
      <c r="Q220" s="235"/>
      <c r="R220" s="235"/>
      <c r="S220" s="235"/>
      <c r="T220" s="235"/>
      <c r="U220" s="235"/>
      <c r="V220" s="235"/>
      <c r="W220" s="235"/>
      <c r="X220" s="235"/>
      <c r="Y220" s="235"/>
      <c r="Z220" s="235"/>
    </row>
    <row r="221" ht="12.75" customHeight="1">
      <c r="A221" s="21"/>
      <c r="B221" s="21"/>
      <c r="C221" s="21"/>
      <c r="D221" s="230" t="s">
        <v>1160</v>
      </c>
      <c r="E221" s="230"/>
      <c r="F221" s="21"/>
      <c r="G221" s="21"/>
      <c r="H221" s="21"/>
      <c r="I221" s="21"/>
      <c r="J221" s="21"/>
      <c r="K221" s="300"/>
      <c r="L221" s="235"/>
      <c r="M221" s="235"/>
      <c r="N221" s="235"/>
      <c r="O221" s="235"/>
      <c r="P221" s="235"/>
      <c r="Q221" s="235"/>
      <c r="R221" s="235"/>
      <c r="S221" s="235"/>
      <c r="T221" s="235"/>
      <c r="U221" s="235"/>
      <c r="V221" s="235"/>
      <c r="W221" s="235"/>
      <c r="X221" s="235"/>
      <c r="Y221" s="235"/>
      <c r="Z221" s="235"/>
    </row>
    <row r="222" ht="12.7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ht="12.7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ht="12.7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ht="12.7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ht="12.7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ht="12.7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ht="12.7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ht="12.7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ht="12.7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ht="12.7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ht="12.7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ht="12.7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ht="12.7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ht="12.7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ht="12.7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ht="12.7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ht="12.7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ht="12.7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ht="12.7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ht="12.7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ht="12.7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ht="12.7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ht="12.7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ht="12.7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ht="12.7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ht="12.7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ht="12.7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ht="12.7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ht="12.7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ht="12.7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ht="12.7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ht="12.7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ht="12.7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ht="12.7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ht="12.7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ht="12.7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ht="12.7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ht="12.7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ht="12.7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ht="12.7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ht="12.7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ht="12.7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ht="12.75" customHeight="1">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ht="12.75" customHeight="1">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ht="12.75" customHeight="1">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ht="12.75" customHeight="1">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ht="12.75" customHeight="1">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ht="12.75" customHeight="1">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ht="12.75" customHeight="1">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ht="12.75" customHeight="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ht="12.75" customHeight="1">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ht="12.75" customHeight="1">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ht="12.75" customHeight="1">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ht="12.75" customHeight="1">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ht="12.75" customHeight="1">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ht="12.75" customHeight="1">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ht="12.75" customHeight="1">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ht="12.75" customHeigh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ht="12.75" customHeight="1">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ht="12.75" customHeight="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ht="12.75" customHeight="1">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ht="12.75" customHeight="1">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ht="12.75" customHeight="1">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ht="12.75" customHeight="1">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ht="12.75" customHeight="1">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ht="12.75" customHeight="1">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ht="12.75" customHeight="1">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ht="12.75" customHeight="1">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ht="12.75" customHeigh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ht="12.75" customHeigh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ht="12.75" customHeigh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ht="12.75" customHeigh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ht="12.75" customHeigh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ht="12.75" customHeigh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ht="12.75" customHeight="1">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ht="12.75" customHeight="1">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ht="12.75" customHeight="1">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ht="12.75" customHeight="1">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ht="12.75" customHeight="1">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ht="12.75" customHeight="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ht="12.75" customHeight="1">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ht="12.75" customHeight="1">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ht="12.75" customHeight="1">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ht="12.75" customHeight="1">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ht="12.75" customHeight="1">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ht="12.75" customHeight="1">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ht="12.75" customHeight="1">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ht="12.75" customHeight="1">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ht="12.75" customHeight="1">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ht="12.75" customHeight="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ht="12.75" customHeight="1">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ht="12.75" customHeight="1">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ht="12.75" customHeight="1">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ht="12.75" customHeight="1">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ht="12.75" customHeight="1">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ht="12.75" customHeight="1">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ht="12.75" customHeight="1">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ht="12.75" customHeight="1">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ht="12.75" customHeight="1">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ht="12.75" customHeight="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ht="12.75" customHeight="1">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ht="12.75" customHeight="1">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ht="12.75" customHeight="1">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ht="12.75" customHeight="1">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ht="12.75" customHeight="1">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ht="12.75" customHeight="1">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ht="12.75" customHeight="1">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ht="12.75" customHeight="1">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ht="12.75" customHeight="1">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ht="12.75" customHeight="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ht="12.75" customHeight="1">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ht="12.75" customHeight="1">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ht="12.75" customHeight="1">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ht="12.75" customHeight="1">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ht="12.75" customHeight="1">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ht="12.75" customHeight="1">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ht="12.75" customHeight="1">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ht="12.75" customHeight="1">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ht="12.75" customHeight="1">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ht="12.75" customHeight="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ht="12.75" customHeight="1">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ht="12.75" customHeight="1">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ht="12.75" customHeight="1">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ht="12.75" customHeight="1">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ht="12.75" customHeight="1">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ht="12.75" customHeight="1">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ht="12.75" customHeight="1">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ht="12.75" customHeight="1">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ht="12.75" customHeight="1">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ht="12.75" customHeight="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ht="12.75" customHeight="1">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ht="12.75" customHeight="1">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ht="12.75" customHeight="1">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ht="12.75" customHeight="1">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ht="12.75" customHeight="1">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ht="12.75" customHeight="1">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ht="12.75" customHeight="1">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ht="12.75" customHeight="1">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ht="12.75" customHeight="1">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ht="12.75" customHeight="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ht="12.75" customHeight="1">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ht="12.75" customHeight="1">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ht="12.75" customHeight="1">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ht="12.75" customHeight="1">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ht="12.75" customHeight="1">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ht="12.75" customHeight="1">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ht="12.75" customHeight="1">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ht="12.75" customHeight="1">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ht="12.75" customHeight="1">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ht="12.75" customHeight="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ht="12.75" customHeight="1">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ht="12.75" customHeight="1">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ht="12.75" customHeight="1">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ht="12.75" customHeight="1">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ht="12.75" customHeight="1">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ht="12.75" customHeight="1">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ht="12.75" customHeight="1">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ht="12.75" customHeight="1">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ht="12.75" customHeight="1">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ht="12.75" customHeight="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ht="12.75" customHeight="1">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ht="12.75" customHeight="1">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ht="12.75" customHeight="1">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ht="12.75" customHeight="1">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ht="12.75" customHeight="1">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ht="12.75" customHeight="1">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ht="12.75" customHeight="1">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ht="12.75" customHeight="1">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ht="12.75" customHeight="1">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ht="12.75" customHeight="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ht="12.75" customHeight="1">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ht="12.75" customHeight="1">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ht="12.75" customHeight="1">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ht="12.75" customHeight="1">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ht="12.75" customHeight="1">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ht="12.75" customHeight="1">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ht="12.75" customHeight="1">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ht="12.75" customHeight="1">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ht="12.75" customHeight="1">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ht="12.75" customHeight="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ht="12.75" customHeight="1">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ht="12.75" customHeight="1">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ht="12.75" customHeight="1">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ht="12.75" customHeight="1">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ht="12.75" customHeight="1">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ht="12.75" customHeight="1">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ht="12.75" customHeight="1">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ht="12.75" customHeight="1">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ht="12.75" customHeight="1">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ht="12.75" customHeight="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ht="12.75" customHeight="1">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ht="12.75" customHeight="1">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ht="12.75" customHeight="1">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ht="12.75" customHeight="1">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ht="12.75" customHeight="1">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ht="12.75" customHeight="1">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ht="12.75" customHeight="1">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ht="12.75" customHeight="1">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ht="12.75" customHeight="1">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ht="12.75" customHeight="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ht="12.75" customHeight="1">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ht="12.75" customHeight="1">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ht="12.75" customHeight="1">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ht="12.75" customHeight="1">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ht="12.75" customHeight="1">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ht="12.75" customHeight="1">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ht="12.75" customHeight="1">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ht="12.75" customHeight="1">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ht="12.75" customHeight="1">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ht="12.75" customHeight="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ht="12.75" customHeight="1">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ht="12.75" customHeight="1">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ht="12.75" customHeight="1">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ht="12.75" customHeight="1">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ht="12.75" customHeight="1">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ht="12.75" customHeight="1">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ht="12.75" customHeight="1">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ht="12.75" customHeight="1">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ht="12.75" customHeight="1">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ht="12.75" customHeight="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ht="12.75" customHeight="1">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ht="12.75" customHeight="1">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ht="12.75" customHeight="1">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ht="12.75" customHeight="1">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ht="12.75" customHeight="1">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ht="12.75" customHeight="1">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ht="12.75" customHeight="1">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ht="12.75" customHeight="1">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ht="12.75" customHeight="1">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ht="12.75" customHeight="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ht="12.75" customHeight="1">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ht="12.75" customHeight="1">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ht="12.75" customHeight="1">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ht="12.75" customHeight="1">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ht="12.75" customHeight="1">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ht="12.75" customHeight="1">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ht="12.75" customHeight="1">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ht="12.75" customHeight="1">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ht="12.75" customHeight="1">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ht="12.75" customHeight="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ht="12.75" customHeight="1">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ht="12.75" customHeight="1">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ht="12.75" customHeight="1">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ht="12.75" customHeight="1">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ht="12.75" customHeight="1">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ht="12.75" customHeight="1">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ht="12.75" customHeight="1">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ht="12.75" customHeight="1">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ht="12.75" customHeight="1">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ht="12.75" customHeight="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ht="12.75" customHeight="1">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ht="12.75" customHeight="1">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ht="12.75" customHeight="1">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ht="12.75" customHeight="1">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ht="12.75" customHeight="1">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ht="12.75" customHeight="1">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ht="12.75" customHeight="1">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ht="12.75" customHeight="1">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ht="12.75" customHeight="1">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ht="12.75" customHeight="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ht="12.75" customHeight="1">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ht="12.75" customHeight="1">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ht="12.75" customHeight="1">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ht="12.75" customHeight="1">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ht="12.75" customHeight="1">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ht="12.75" customHeight="1">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ht="12.75" customHeight="1">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ht="12.75" customHeight="1">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ht="12.75" customHeight="1">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ht="12.75" customHeight="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ht="12.75" customHeight="1">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ht="12.75" customHeight="1">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ht="12.75" customHeight="1">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ht="12.75" customHeight="1">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ht="12.75" customHeight="1">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ht="12.75" customHeight="1">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ht="12.75" customHeight="1">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ht="12.75" customHeight="1">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ht="12.75" customHeight="1">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ht="12.75" customHeight="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ht="12.75" customHeight="1">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ht="12.75" customHeight="1">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ht="12.75" customHeight="1">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ht="12.75" customHeight="1">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ht="12.75" customHeight="1">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ht="12.75" customHeight="1">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ht="12.75" customHeight="1">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ht="12.75" customHeight="1">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ht="12.75" customHeight="1">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ht="12.75" customHeight="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ht="12.75" customHeight="1">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ht="12.75" customHeight="1">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ht="12.75" customHeight="1">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ht="12.75" customHeight="1">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ht="12.75" customHeight="1">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ht="12.75" customHeight="1">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ht="12.75" customHeight="1">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ht="12.75" customHeight="1">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ht="12.75" customHeight="1">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ht="12.75" customHeight="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ht="12.75" customHeight="1">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ht="12.75" customHeight="1">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ht="12.75" customHeight="1">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ht="12.75" customHeight="1">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ht="12.75" customHeight="1">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ht="12.75" customHeight="1">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ht="12.75" customHeight="1">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ht="12.75" customHeight="1">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ht="12.75" customHeight="1">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ht="12.75" customHeight="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ht="12.75" customHeight="1">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ht="12.75" customHeight="1">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ht="12.75" customHeight="1">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ht="12.75" customHeight="1">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ht="12.75" customHeight="1">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ht="12.75" customHeight="1">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ht="12.75" customHeight="1">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ht="12.75" customHeight="1">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ht="12.75" customHeight="1">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ht="12.75" customHeight="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ht="12.75" customHeight="1">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ht="12.75" customHeight="1">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ht="12.75" customHeight="1">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ht="12.75" customHeight="1">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ht="12.75" customHeight="1">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ht="12.75" customHeight="1">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ht="12.75" customHeight="1">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ht="12.75" customHeight="1">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ht="12.75" customHeight="1">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ht="12.75" customHeight="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ht="12.75" customHeight="1">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ht="12.75" customHeight="1">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ht="12.75" customHeight="1">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ht="12.75" customHeight="1">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ht="12.75" customHeight="1">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ht="12.75" customHeight="1">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ht="12.75" customHeight="1">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ht="12.75" customHeight="1">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ht="12.75" customHeight="1">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ht="12.75" customHeight="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ht="12.75" customHeight="1">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ht="12.75" customHeight="1">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ht="12.75" customHeight="1">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ht="12.75" customHeight="1">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ht="12.75" customHeight="1">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sheetData>
  <mergeCells count="396">
    <mergeCell ref="I70:I71"/>
    <mergeCell ref="J70:J71"/>
    <mergeCell ref="K70:K71"/>
    <mergeCell ref="A70:A71"/>
    <mergeCell ref="B70:B71"/>
    <mergeCell ref="C70:C71"/>
    <mergeCell ref="E70:E71"/>
    <mergeCell ref="F70:F71"/>
    <mergeCell ref="G70:G71"/>
    <mergeCell ref="H70:H71"/>
    <mergeCell ref="J72:J73"/>
    <mergeCell ref="K72:K73"/>
    <mergeCell ref="A72:A73"/>
    <mergeCell ref="B72:B73"/>
    <mergeCell ref="C72:C73"/>
    <mergeCell ref="F72:F73"/>
    <mergeCell ref="G72:G73"/>
    <mergeCell ref="H72:H73"/>
    <mergeCell ref="I72:I73"/>
    <mergeCell ref="J74:J77"/>
    <mergeCell ref="K74:K77"/>
    <mergeCell ref="A74:A77"/>
    <mergeCell ref="B74:B77"/>
    <mergeCell ref="C74:C77"/>
    <mergeCell ref="F74:F77"/>
    <mergeCell ref="G74:G77"/>
    <mergeCell ref="H74:H77"/>
    <mergeCell ref="I74:I77"/>
    <mergeCell ref="I79:I83"/>
    <mergeCell ref="J79:J83"/>
    <mergeCell ref="K79:K83"/>
    <mergeCell ref="A79:A83"/>
    <mergeCell ref="B79:B83"/>
    <mergeCell ref="C79:C83"/>
    <mergeCell ref="E79:E83"/>
    <mergeCell ref="F79:F83"/>
    <mergeCell ref="G79:G83"/>
    <mergeCell ref="H79:H83"/>
    <mergeCell ref="I84:I85"/>
    <mergeCell ref="J84:J85"/>
    <mergeCell ref="K84:K85"/>
    <mergeCell ref="A84:A85"/>
    <mergeCell ref="B84:B85"/>
    <mergeCell ref="C84:C85"/>
    <mergeCell ref="E84:E85"/>
    <mergeCell ref="F84:F85"/>
    <mergeCell ref="G84:G85"/>
    <mergeCell ref="H84:H85"/>
    <mergeCell ref="I87:I90"/>
    <mergeCell ref="J87:J90"/>
    <mergeCell ref="K87:K90"/>
    <mergeCell ref="A87:A90"/>
    <mergeCell ref="B87:B90"/>
    <mergeCell ref="C87:C90"/>
    <mergeCell ref="E87:E90"/>
    <mergeCell ref="F87:F90"/>
    <mergeCell ref="G87:G90"/>
    <mergeCell ref="H87:H90"/>
    <mergeCell ref="I91:I92"/>
    <mergeCell ref="J91:J92"/>
    <mergeCell ref="K91:K92"/>
    <mergeCell ref="A91:A92"/>
    <mergeCell ref="B91:B92"/>
    <mergeCell ref="C91:C92"/>
    <mergeCell ref="E91:E92"/>
    <mergeCell ref="F91:F92"/>
    <mergeCell ref="G91:G92"/>
    <mergeCell ref="H91:H92"/>
    <mergeCell ref="I93:I95"/>
    <mergeCell ref="J93:J95"/>
    <mergeCell ref="K93:K95"/>
    <mergeCell ref="A93:A95"/>
    <mergeCell ref="B93:B95"/>
    <mergeCell ref="C93:C95"/>
    <mergeCell ref="E93:E95"/>
    <mergeCell ref="F93:F95"/>
    <mergeCell ref="G93:G95"/>
    <mergeCell ref="H93:H95"/>
    <mergeCell ref="I96:I98"/>
    <mergeCell ref="J96:J98"/>
    <mergeCell ref="K96:K98"/>
    <mergeCell ref="A96:A98"/>
    <mergeCell ref="B96:B98"/>
    <mergeCell ref="C96:C98"/>
    <mergeCell ref="E96:E98"/>
    <mergeCell ref="F96:F98"/>
    <mergeCell ref="G96:G98"/>
    <mergeCell ref="H96:H98"/>
    <mergeCell ref="I100:I103"/>
    <mergeCell ref="J100:J103"/>
    <mergeCell ref="K100:K103"/>
    <mergeCell ref="A100:A103"/>
    <mergeCell ref="B100:B103"/>
    <mergeCell ref="C100:C103"/>
    <mergeCell ref="E100:E103"/>
    <mergeCell ref="F100:F103"/>
    <mergeCell ref="G100:G103"/>
    <mergeCell ref="H100:H103"/>
    <mergeCell ref="I104:I107"/>
    <mergeCell ref="J104:J107"/>
    <mergeCell ref="K104:K107"/>
    <mergeCell ref="A104:A107"/>
    <mergeCell ref="B104:B107"/>
    <mergeCell ref="C104:C107"/>
    <mergeCell ref="E104:E107"/>
    <mergeCell ref="F104:F107"/>
    <mergeCell ref="G104:G107"/>
    <mergeCell ref="H104:H107"/>
    <mergeCell ref="I109:I111"/>
    <mergeCell ref="J109:J111"/>
    <mergeCell ref="K109:K111"/>
    <mergeCell ref="A109:A111"/>
    <mergeCell ref="B109:B111"/>
    <mergeCell ref="C109:C111"/>
    <mergeCell ref="E109:E111"/>
    <mergeCell ref="F109:F111"/>
    <mergeCell ref="G109:G111"/>
    <mergeCell ref="H109:H111"/>
    <mergeCell ref="J112:J113"/>
    <mergeCell ref="K112:K113"/>
    <mergeCell ref="A112:A113"/>
    <mergeCell ref="B112:B113"/>
    <mergeCell ref="C112:C113"/>
    <mergeCell ref="F112:F113"/>
    <mergeCell ref="G112:G113"/>
    <mergeCell ref="H112:H113"/>
    <mergeCell ref="I112:I113"/>
    <mergeCell ref="I114:I115"/>
    <mergeCell ref="J114:J115"/>
    <mergeCell ref="K114:K115"/>
    <mergeCell ref="A114:A115"/>
    <mergeCell ref="B114:B115"/>
    <mergeCell ref="C114:C115"/>
    <mergeCell ref="E114:E115"/>
    <mergeCell ref="F114:F115"/>
    <mergeCell ref="G114:G115"/>
    <mergeCell ref="H114:H115"/>
    <mergeCell ref="B3:I3"/>
    <mergeCell ref="B4:I4"/>
    <mergeCell ref="C5:D5"/>
    <mergeCell ref="E5:F5"/>
    <mergeCell ref="G5:I5"/>
    <mergeCell ref="C6:D6"/>
    <mergeCell ref="E6:F6"/>
    <mergeCell ref="G6:I6"/>
    <mergeCell ref="A10:K10"/>
    <mergeCell ref="A11:K11"/>
    <mergeCell ref="B13:B19"/>
    <mergeCell ref="B22:B28"/>
    <mergeCell ref="B35:B36"/>
    <mergeCell ref="B42:B43"/>
    <mergeCell ref="J47:J50"/>
    <mergeCell ref="K47:K50"/>
    <mergeCell ref="C47:C50"/>
    <mergeCell ref="C51:C54"/>
    <mergeCell ref="F51:F54"/>
    <mergeCell ref="G51:G54"/>
    <mergeCell ref="H51:H54"/>
    <mergeCell ref="I51:I54"/>
    <mergeCell ref="J51:J54"/>
    <mergeCell ref="K51:K54"/>
    <mergeCell ref="F55:F58"/>
    <mergeCell ref="G55:G58"/>
    <mergeCell ref="J55:J58"/>
    <mergeCell ref="K55:K58"/>
    <mergeCell ref="H55:H58"/>
    <mergeCell ref="I55:I58"/>
    <mergeCell ref="B44:B58"/>
    <mergeCell ref="A47:A50"/>
    <mergeCell ref="F47:F50"/>
    <mergeCell ref="G47:G50"/>
    <mergeCell ref="H47:H50"/>
    <mergeCell ref="I47:I50"/>
    <mergeCell ref="A51:A54"/>
    <mergeCell ref="H60:H64"/>
    <mergeCell ref="I60:I64"/>
    <mergeCell ref="J60:J64"/>
    <mergeCell ref="K60:K64"/>
    <mergeCell ref="A55:A58"/>
    <mergeCell ref="C55:C58"/>
    <mergeCell ref="A60:A64"/>
    <mergeCell ref="B60:B64"/>
    <mergeCell ref="C60:C64"/>
    <mergeCell ref="F60:F64"/>
    <mergeCell ref="G60:G64"/>
    <mergeCell ref="I65:I69"/>
    <mergeCell ref="J65:J69"/>
    <mergeCell ref="K65:K69"/>
    <mergeCell ref="A65:A69"/>
    <mergeCell ref="B65:B69"/>
    <mergeCell ref="C65:C69"/>
    <mergeCell ref="E65:E69"/>
    <mergeCell ref="F65:F69"/>
    <mergeCell ref="G65:G69"/>
    <mergeCell ref="H65:H69"/>
    <mergeCell ref="H138:H141"/>
    <mergeCell ref="I138:I141"/>
    <mergeCell ref="J138:J141"/>
    <mergeCell ref="K138:K141"/>
    <mergeCell ref="I178:I182"/>
    <mergeCell ref="J178:J182"/>
    <mergeCell ref="K178:K182"/>
    <mergeCell ref="A178:A182"/>
    <mergeCell ref="B178:B182"/>
    <mergeCell ref="C178:C182"/>
    <mergeCell ref="E178:E182"/>
    <mergeCell ref="F178:F182"/>
    <mergeCell ref="G178:G182"/>
    <mergeCell ref="H178:H182"/>
    <mergeCell ref="J183:J188"/>
    <mergeCell ref="K183:K188"/>
    <mergeCell ref="A183:A188"/>
    <mergeCell ref="B183:B188"/>
    <mergeCell ref="C183:C188"/>
    <mergeCell ref="F183:F188"/>
    <mergeCell ref="G183:G188"/>
    <mergeCell ref="H183:H188"/>
    <mergeCell ref="I183:I188"/>
    <mergeCell ref="J190:J194"/>
    <mergeCell ref="K190:K194"/>
    <mergeCell ref="A190:A194"/>
    <mergeCell ref="B190:B194"/>
    <mergeCell ref="C190:C194"/>
    <mergeCell ref="F190:F194"/>
    <mergeCell ref="G190:G194"/>
    <mergeCell ref="H190:H194"/>
    <mergeCell ref="I190:I194"/>
    <mergeCell ref="J195:J200"/>
    <mergeCell ref="K195:K200"/>
    <mergeCell ref="A195:A200"/>
    <mergeCell ref="B195:B200"/>
    <mergeCell ref="C195:C200"/>
    <mergeCell ref="F195:F200"/>
    <mergeCell ref="G195:G200"/>
    <mergeCell ref="H195:H200"/>
    <mergeCell ref="I195:I200"/>
    <mergeCell ref="J202:J206"/>
    <mergeCell ref="K202:K206"/>
    <mergeCell ref="A202:A206"/>
    <mergeCell ref="B202:B206"/>
    <mergeCell ref="C202:C206"/>
    <mergeCell ref="F202:F206"/>
    <mergeCell ref="G202:G206"/>
    <mergeCell ref="H202:H206"/>
    <mergeCell ref="I202:I206"/>
    <mergeCell ref="J207:J210"/>
    <mergeCell ref="K207:K210"/>
    <mergeCell ref="A207:A210"/>
    <mergeCell ref="B207:B210"/>
    <mergeCell ref="C207:C210"/>
    <mergeCell ref="F207:F210"/>
    <mergeCell ref="G207:G210"/>
    <mergeCell ref="H207:H210"/>
    <mergeCell ref="I207:I210"/>
    <mergeCell ref="J212:J216"/>
    <mergeCell ref="K212:K216"/>
    <mergeCell ref="A212:A216"/>
    <mergeCell ref="B212:B216"/>
    <mergeCell ref="C212:C216"/>
    <mergeCell ref="F212:F216"/>
    <mergeCell ref="G212:G216"/>
    <mergeCell ref="H212:H216"/>
    <mergeCell ref="I212:I216"/>
    <mergeCell ref="I158:I163"/>
    <mergeCell ref="J158:J163"/>
    <mergeCell ref="K158:K163"/>
    <mergeCell ref="A158:A163"/>
    <mergeCell ref="B158:B163"/>
    <mergeCell ref="C158:C163"/>
    <mergeCell ref="E158:E163"/>
    <mergeCell ref="F158:F163"/>
    <mergeCell ref="G158:G163"/>
    <mergeCell ref="H158:H163"/>
    <mergeCell ref="I164:I169"/>
    <mergeCell ref="J164:J169"/>
    <mergeCell ref="K164:K169"/>
    <mergeCell ref="B164:B169"/>
    <mergeCell ref="C164:C169"/>
    <mergeCell ref="E164:E169"/>
    <mergeCell ref="F164:F169"/>
    <mergeCell ref="G164:G169"/>
    <mergeCell ref="H164:H169"/>
    <mergeCell ref="A170:K170"/>
    <mergeCell ref="I172:I177"/>
    <mergeCell ref="J172:J177"/>
    <mergeCell ref="K172:K177"/>
    <mergeCell ref="A164:A169"/>
    <mergeCell ref="A172:A177"/>
    <mergeCell ref="B172:B177"/>
    <mergeCell ref="C172:C177"/>
    <mergeCell ref="F172:F177"/>
    <mergeCell ref="G172:G177"/>
    <mergeCell ref="H172:H177"/>
    <mergeCell ref="A217:A221"/>
    <mergeCell ref="B217:B221"/>
    <mergeCell ref="C217:C221"/>
    <mergeCell ref="F217:F221"/>
    <mergeCell ref="G217:G221"/>
    <mergeCell ref="H217:H221"/>
    <mergeCell ref="I217:I221"/>
    <mergeCell ref="J217:J221"/>
    <mergeCell ref="I116:I117"/>
    <mergeCell ref="J116:J117"/>
    <mergeCell ref="K116:K117"/>
    <mergeCell ref="A116:A117"/>
    <mergeCell ref="B116:B117"/>
    <mergeCell ref="C116:C117"/>
    <mergeCell ref="E116:E117"/>
    <mergeCell ref="F116:F117"/>
    <mergeCell ref="G116:G117"/>
    <mergeCell ref="H116:H117"/>
    <mergeCell ref="J119:J122"/>
    <mergeCell ref="K119:K122"/>
    <mergeCell ref="A119:A122"/>
    <mergeCell ref="B119:B122"/>
    <mergeCell ref="C119:C122"/>
    <mergeCell ref="F119:F122"/>
    <mergeCell ref="G119:G122"/>
    <mergeCell ref="H119:H122"/>
    <mergeCell ref="I119:I122"/>
    <mergeCell ref="J123:J125"/>
    <mergeCell ref="K123:K125"/>
    <mergeCell ref="A123:A125"/>
    <mergeCell ref="B123:B125"/>
    <mergeCell ref="C123:C125"/>
    <mergeCell ref="F123:F125"/>
    <mergeCell ref="G123:G125"/>
    <mergeCell ref="H123:H125"/>
    <mergeCell ref="I123:I125"/>
    <mergeCell ref="I126:I128"/>
    <mergeCell ref="J126:J128"/>
    <mergeCell ref="K126:K128"/>
    <mergeCell ref="A126:A128"/>
    <mergeCell ref="B126:B128"/>
    <mergeCell ref="C126:C128"/>
    <mergeCell ref="E126:E128"/>
    <mergeCell ref="F126:F128"/>
    <mergeCell ref="G126:G128"/>
    <mergeCell ref="H126:H128"/>
    <mergeCell ref="I129:I131"/>
    <mergeCell ref="J129:J131"/>
    <mergeCell ref="K129:K131"/>
    <mergeCell ref="A129:A131"/>
    <mergeCell ref="B129:B131"/>
    <mergeCell ref="C129:C131"/>
    <mergeCell ref="E129:E131"/>
    <mergeCell ref="F129:F131"/>
    <mergeCell ref="G129:G131"/>
    <mergeCell ref="H129:H131"/>
    <mergeCell ref="I132:I134"/>
    <mergeCell ref="J132:J134"/>
    <mergeCell ref="K132:K134"/>
    <mergeCell ref="B132:B134"/>
    <mergeCell ref="C132:C134"/>
    <mergeCell ref="E132:E134"/>
    <mergeCell ref="F132:F134"/>
    <mergeCell ref="G132:G134"/>
    <mergeCell ref="H132:H134"/>
    <mergeCell ref="A136:J136"/>
    <mergeCell ref="A132:A134"/>
    <mergeCell ref="A138:A141"/>
    <mergeCell ref="B138:B141"/>
    <mergeCell ref="C138:C141"/>
    <mergeCell ref="E138:E141"/>
    <mergeCell ref="F138:F141"/>
    <mergeCell ref="G138:G141"/>
    <mergeCell ref="I142:I145"/>
    <mergeCell ref="J142:J145"/>
    <mergeCell ref="K142:K145"/>
    <mergeCell ref="A142:A145"/>
    <mergeCell ref="B142:B145"/>
    <mergeCell ref="C142:C145"/>
    <mergeCell ref="E142:E145"/>
    <mergeCell ref="F142:F145"/>
    <mergeCell ref="G142:G145"/>
    <mergeCell ref="H142:H145"/>
    <mergeCell ref="I147:I151"/>
    <mergeCell ref="J147:J151"/>
    <mergeCell ref="K147:K151"/>
    <mergeCell ref="A147:A151"/>
    <mergeCell ref="B147:B151"/>
    <mergeCell ref="C147:C151"/>
    <mergeCell ref="E147:E151"/>
    <mergeCell ref="F147:F151"/>
    <mergeCell ref="G147:G151"/>
    <mergeCell ref="H147:H151"/>
    <mergeCell ref="I152:I156"/>
    <mergeCell ref="J152:J156"/>
    <mergeCell ref="K152:K156"/>
    <mergeCell ref="A152:A156"/>
    <mergeCell ref="B152:B156"/>
    <mergeCell ref="C152:C156"/>
    <mergeCell ref="E152:E156"/>
    <mergeCell ref="F152:F156"/>
    <mergeCell ref="G152:G156"/>
    <mergeCell ref="H152:H156"/>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14"/>
    <col customWidth="1" min="3" max="3" width="34.86"/>
    <col customWidth="1" min="4" max="4" width="41.57"/>
    <col customWidth="1" min="5" max="5" width="14.0"/>
    <col customWidth="1" min="6" max="6" width="73.57"/>
    <col customWidth="1" min="7" max="7" width="50.57"/>
    <col customWidth="1" min="8" max="8" width="41.57"/>
    <col customWidth="1" min="9" max="9" width="13.86"/>
    <col customWidth="1" min="10" max="10" width="33.29"/>
    <col customWidth="1" min="11" max="11" width="34.0"/>
  </cols>
  <sheetData>
    <row r="1">
      <c r="A1" s="149"/>
      <c r="B1" s="301"/>
      <c r="C1" s="301"/>
      <c r="D1" s="149"/>
      <c r="E1" s="149"/>
      <c r="F1" s="149"/>
      <c r="G1" s="149"/>
      <c r="H1" s="149"/>
      <c r="I1" s="149"/>
      <c r="J1" s="150"/>
      <c r="K1" s="150"/>
      <c r="L1" s="150"/>
      <c r="M1" s="150"/>
      <c r="N1" s="150"/>
      <c r="O1" s="150"/>
      <c r="P1" s="150"/>
      <c r="Q1" s="150"/>
      <c r="R1" s="150"/>
      <c r="S1" s="150"/>
      <c r="T1" s="150"/>
      <c r="U1" s="150"/>
      <c r="V1" s="150"/>
      <c r="W1" s="150"/>
      <c r="X1" s="150"/>
      <c r="Y1" s="150"/>
      <c r="Z1" s="150"/>
    </row>
    <row r="2">
      <c r="A2" s="151" t="s">
        <v>166</v>
      </c>
      <c r="B2" s="302" t="s">
        <v>702</v>
      </c>
      <c r="C2" s="303"/>
      <c r="D2" s="153"/>
      <c r="E2" s="153"/>
      <c r="F2" s="153"/>
      <c r="G2" s="153"/>
      <c r="H2" s="153"/>
      <c r="I2" s="154"/>
      <c r="J2" s="150"/>
      <c r="K2" s="150"/>
      <c r="L2" s="150"/>
      <c r="M2" s="150"/>
      <c r="N2" s="150"/>
      <c r="O2" s="155" t="s">
        <v>168</v>
      </c>
      <c r="P2" s="150"/>
      <c r="Q2" s="150"/>
      <c r="R2" s="150"/>
      <c r="S2" s="150"/>
      <c r="T2" s="150"/>
      <c r="U2" s="150"/>
      <c r="V2" s="150"/>
      <c r="W2" s="150"/>
      <c r="X2" s="150"/>
      <c r="Y2" s="150"/>
      <c r="Z2" s="150"/>
    </row>
    <row r="3">
      <c r="A3" s="156" t="s">
        <v>169</v>
      </c>
      <c r="B3" s="301"/>
      <c r="C3" s="23"/>
      <c r="D3" s="23"/>
      <c r="E3" s="23"/>
      <c r="F3" s="23"/>
      <c r="G3" s="23"/>
      <c r="H3" s="23"/>
      <c r="I3" s="158"/>
      <c r="J3" s="150"/>
      <c r="K3" s="150"/>
      <c r="L3" s="150"/>
      <c r="M3" s="150"/>
      <c r="N3" s="150"/>
      <c r="O3" s="159" t="s">
        <v>170</v>
      </c>
      <c r="P3" s="150"/>
      <c r="Q3" s="150"/>
      <c r="R3" s="150"/>
      <c r="S3" s="150"/>
      <c r="T3" s="150"/>
      <c r="U3" s="150"/>
      <c r="V3" s="150"/>
      <c r="W3" s="150"/>
      <c r="X3" s="150"/>
      <c r="Y3" s="150"/>
      <c r="Z3" s="150"/>
    </row>
    <row r="4">
      <c r="A4" s="156" t="s">
        <v>171</v>
      </c>
      <c r="B4" s="304" t="s">
        <v>172</v>
      </c>
      <c r="C4" s="161"/>
      <c r="D4" s="161"/>
      <c r="E4" s="161"/>
      <c r="F4" s="161"/>
      <c r="G4" s="161"/>
      <c r="H4" s="161"/>
      <c r="I4" s="162"/>
      <c r="J4" s="150"/>
      <c r="K4" s="149"/>
      <c r="L4" s="150"/>
      <c r="M4" s="150"/>
      <c r="N4" s="150"/>
      <c r="O4" s="163" t="s">
        <v>173</v>
      </c>
      <c r="P4" s="150"/>
      <c r="Q4" s="150"/>
      <c r="R4" s="150"/>
      <c r="S4" s="150"/>
      <c r="T4" s="150"/>
      <c r="U4" s="150"/>
      <c r="V4" s="150"/>
      <c r="W4" s="150"/>
      <c r="X4" s="150"/>
      <c r="Y4" s="150"/>
      <c r="Z4" s="150"/>
    </row>
    <row r="5">
      <c r="A5" s="164" t="s">
        <v>168</v>
      </c>
      <c r="B5" s="305" t="s">
        <v>170</v>
      </c>
      <c r="C5" s="306" t="s">
        <v>174</v>
      </c>
      <c r="D5" s="167"/>
      <c r="E5" s="166" t="s">
        <v>175</v>
      </c>
      <c r="F5" s="167"/>
      <c r="G5" s="166" t="s">
        <v>176</v>
      </c>
      <c r="H5" s="161"/>
      <c r="I5" s="162"/>
      <c r="J5" s="168"/>
      <c r="K5" s="169">
        <f>NOW()</f>
        <v>46202.24998</v>
      </c>
      <c r="L5" s="170"/>
      <c r="M5" s="150"/>
      <c r="N5" s="150"/>
      <c r="O5" s="150" t="s">
        <v>177</v>
      </c>
      <c r="P5" s="150"/>
      <c r="Q5" s="150"/>
      <c r="R5" s="150"/>
      <c r="S5" s="150"/>
      <c r="T5" s="150"/>
      <c r="U5" s="150"/>
      <c r="V5" s="150"/>
      <c r="W5" s="150"/>
      <c r="X5" s="150"/>
      <c r="Y5" s="150"/>
      <c r="Z5" s="150"/>
    </row>
    <row r="6">
      <c r="A6" s="171">
        <f>COUNTIF(I13:I849,"Pass")</f>
        <v>23</v>
      </c>
      <c r="B6" s="307">
        <f>COUNTIF(I13:I849,"Fail")</f>
        <v>0</v>
      </c>
      <c r="C6" s="308" t="str">
        <f>H6-F6-C6-B6</f>
        <v>#REF!</v>
      </c>
      <c r="D6" s="174"/>
      <c r="E6" s="173">
        <f>COUNTIF(J$53:J$849,"N/A")</f>
        <v>0</v>
      </c>
      <c r="F6" s="174"/>
      <c r="G6" s="175">
        <f>COUNTA(C53:C849)</f>
        <v>0</v>
      </c>
      <c r="H6" s="176"/>
      <c r="I6" s="177"/>
      <c r="J6" s="150"/>
      <c r="K6" s="150"/>
      <c r="L6" s="150"/>
      <c r="M6" s="150"/>
      <c r="N6" s="150"/>
      <c r="O6" s="150"/>
      <c r="P6" s="150"/>
      <c r="Q6" s="150"/>
      <c r="R6" s="150"/>
      <c r="S6" s="150"/>
      <c r="T6" s="150"/>
      <c r="U6" s="150"/>
      <c r="V6" s="150"/>
      <c r="W6" s="150"/>
      <c r="X6" s="150"/>
      <c r="Y6" s="150"/>
      <c r="Z6" s="150"/>
    </row>
    <row r="7">
      <c r="A7" s="178"/>
      <c r="B7" s="303"/>
      <c r="C7" s="303"/>
      <c r="D7" s="153"/>
      <c r="E7" s="153"/>
      <c r="F7" s="153"/>
      <c r="G7" s="153"/>
      <c r="H7" s="153"/>
      <c r="I7" s="179"/>
      <c r="J7" s="149"/>
      <c r="K7" s="149"/>
      <c r="L7" s="150"/>
      <c r="M7" s="149"/>
      <c r="N7" s="150"/>
      <c r="O7" s="150"/>
      <c r="P7" s="150"/>
      <c r="Q7" s="150"/>
      <c r="R7" s="150"/>
      <c r="S7" s="150"/>
      <c r="T7" s="150"/>
      <c r="U7" s="150"/>
      <c r="V7" s="150"/>
      <c r="W7" s="150"/>
      <c r="X7" s="150"/>
      <c r="Y7" s="150"/>
      <c r="Z7" s="150"/>
    </row>
    <row r="8">
      <c r="A8" s="309" t="s">
        <v>178</v>
      </c>
      <c r="B8" s="194" t="s">
        <v>179</v>
      </c>
      <c r="C8" s="194" t="s">
        <v>180</v>
      </c>
      <c r="D8" s="309" t="s">
        <v>181</v>
      </c>
      <c r="E8" s="309" t="s">
        <v>182</v>
      </c>
      <c r="F8" s="309" t="s">
        <v>183</v>
      </c>
      <c r="G8" s="309" t="s">
        <v>184</v>
      </c>
      <c r="H8" s="309" t="s">
        <v>185</v>
      </c>
      <c r="I8" s="309" t="s">
        <v>186</v>
      </c>
      <c r="J8" s="309" t="s">
        <v>187</v>
      </c>
      <c r="K8" s="309" t="s">
        <v>309</v>
      </c>
      <c r="L8" s="168"/>
      <c r="M8" s="272"/>
      <c r="N8" s="150"/>
      <c r="O8" s="150"/>
      <c r="P8" s="150"/>
      <c r="Q8" s="150"/>
      <c r="R8" s="150"/>
      <c r="S8" s="150"/>
      <c r="T8" s="150"/>
      <c r="U8" s="150"/>
      <c r="V8" s="150"/>
      <c r="W8" s="150"/>
      <c r="X8" s="150"/>
      <c r="Y8" s="150"/>
      <c r="Z8" s="150"/>
    </row>
    <row r="9">
      <c r="A9" s="310" t="s">
        <v>1235</v>
      </c>
      <c r="B9" s="274"/>
      <c r="C9" s="274"/>
      <c r="D9" s="274"/>
      <c r="E9" s="274"/>
      <c r="F9" s="274"/>
      <c r="G9" s="274"/>
      <c r="H9" s="274"/>
      <c r="I9" s="274"/>
      <c r="J9" s="274"/>
      <c r="K9" s="274"/>
      <c r="L9" s="274"/>
      <c r="M9" s="274"/>
      <c r="N9" s="274"/>
      <c r="O9" s="274"/>
      <c r="P9" s="274"/>
      <c r="Q9" s="274"/>
      <c r="R9" s="274"/>
      <c r="S9" s="274"/>
      <c r="T9" s="274"/>
      <c r="U9" s="274"/>
      <c r="V9" s="274"/>
      <c r="W9" s="274"/>
      <c r="X9" s="274"/>
      <c r="Y9" s="274"/>
      <c r="Z9" s="275"/>
    </row>
    <row r="10" ht="66.75" customHeight="1">
      <c r="A10" s="56" t="s">
        <v>1236</v>
      </c>
      <c r="B10" s="311" t="s">
        <v>375</v>
      </c>
      <c r="C10" s="312" t="s">
        <v>1237</v>
      </c>
      <c r="D10" s="56" t="s">
        <v>1238</v>
      </c>
      <c r="E10" s="56" t="s">
        <v>325</v>
      </c>
      <c r="F10" s="299" t="s">
        <v>1239</v>
      </c>
      <c r="G10" s="299" t="s">
        <v>1239</v>
      </c>
      <c r="H10" s="56" t="s">
        <v>1240</v>
      </c>
      <c r="I10" s="56" t="s">
        <v>1241</v>
      </c>
      <c r="J10" s="313">
        <v>44976.0</v>
      </c>
      <c r="K10" s="299"/>
      <c r="L10" s="299"/>
      <c r="M10" s="299"/>
      <c r="N10" s="299"/>
      <c r="O10" s="299"/>
      <c r="P10" s="299"/>
      <c r="Q10" s="299"/>
      <c r="R10" s="299"/>
      <c r="S10" s="299"/>
      <c r="T10" s="299"/>
      <c r="U10" s="299"/>
      <c r="V10" s="299"/>
      <c r="W10" s="299"/>
      <c r="X10" s="299"/>
      <c r="Y10" s="299"/>
      <c r="Z10" s="299"/>
    </row>
    <row r="11">
      <c r="A11" s="56" t="s">
        <v>1242</v>
      </c>
      <c r="B11" s="87"/>
      <c r="C11" s="312" t="s">
        <v>1243</v>
      </c>
      <c r="D11" s="56" t="s">
        <v>1244</v>
      </c>
      <c r="E11" s="56" t="s">
        <v>325</v>
      </c>
      <c r="F11" s="299" t="s">
        <v>1245</v>
      </c>
      <c r="G11" s="299" t="s">
        <v>1245</v>
      </c>
      <c r="H11" s="56" t="s">
        <v>1240</v>
      </c>
      <c r="I11" s="56" t="s">
        <v>1241</v>
      </c>
      <c r="J11" s="313">
        <v>44976.0</v>
      </c>
      <c r="K11" s="299"/>
      <c r="L11" s="299"/>
      <c r="M11" s="299"/>
      <c r="N11" s="299"/>
      <c r="O11" s="299"/>
      <c r="P11" s="299"/>
      <c r="Q11" s="299"/>
      <c r="R11" s="299"/>
      <c r="S11" s="299"/>
      <c r="T11" s="299"/>
      <c r="U11" s="299"/>
      <c r="V11" s="299"/>
      <c r="W11" s="299"/>
      <c r="X11" s="299"/>
      <c r="Y11" s="299"/>
      <c r="Z11" s="299"/>
    </row>
    <row r="12">
      <c r="A12" s="314" t="s">
        <v>1246</v>
      </c>
      <c r="B12" s="315"/>
      <c r="C12" s="315"/>
      <c r="D12" s="314"/>
      <c r="E12" s="314"/>
      <c r="F12" s="314"/>
      <c r="G12" s="314"/>
      <c r="H12" s="314"/>
      <c r="I12" s="314"/>
      <c r="J12" s="314"/>
      <c r="K12" s="314"/>
      <c r="L12" s="314"/>
      <c r="M12" s="314"/>
      <c r="N12" s="314"/>
      <c r="O12" s="314"/>
      <c r="P12" s="314"/>
      <c r="Q12" s="314"/>
      <c r="R12" s="314"/>
      <c r="S12" s="314"/>
      <c r="T12" s="314"/>
      <c r="U12" s="314"/>
      <c r="V12" s="314"/>
      <c r="W12" s="314"/>
      <c r="X12" s="314"/>
      <c r="Y12" s="314"/>
      <c r="Z12" s="314"/>
    </row>
    <row r="13">
      <c r="A13" s="56" t="s">
        <v>1247</v>
      </c>
      <c r="B13" s="316" t="s">
        <v>1248</v>
      </c>
      <c r="C13" s="312" t="s">
        <v>1237</v>
      </c>
      <c r="D13" s="56" t="s">
        <v>1244</v>
      </c>
      <c r="E13" s="56" t="s">
        <v>325</v>
      </c>
      <c r="F13" s="56" t="s">
        <v>1249</v>
      </c>
      <c r="G13" s="56" t="s">
        <v>1249</v>
      </c>
      <c r="H13" s="56" t="s">
        <v>1240</v>
      </c>
      <c r="I13" s="56" t="s">
        <v>1241</v>
      </c>
      <c r="J13" s="313">
        <v>44976.0</v>
      </c>
    </row>
    <row r="14">
      <c r="A14" s="56" t="s">
        <v>1250</v>
      </c>
      <c r="B14" s="317"/>
      <c r="C14" s="312" t="s">
        <v>1243</v>
      </c>
      <c r="D14" s="56" t="s">
        <v>1244</v>
      </c>
      <c r="E14" s="56" t="s">
        <v>325</v>
      </c>
      <c r="F14" s="299" t="s">
        <v>1245</v>
      </c>
      <c r="G14" s="299" t="s">
        <v>1245</v>
      </c>
      <c r="H14" s="56" t="s">
        <v>1240</v>
      </c>
      <c r="I14" s="56" t="s">
        <v>1241</v>
      </c>
      <c r="J14" s="313">
        <v>44976.0</v>
      </c>
    </row>
    <row r="15">
      <c r="A15" s="314" t="s">
        <v>1251</v>
      </c>
      <c r="B15" s="318"/>
      <c r="C15" s="318"/>
      <c r="D15" s="314"/>
      <c r="E15" s="314"/>
      <c r="F15" s="314"/>
      <c r="G15" s="314"/>
      <c r="H15" s="314"/>
      <c r="I15" s="314"/>
      <c r="J15" s="314"/>
      <c r="K15" s="314"/>
      <c r="L15" s="314"/>
      <c r="M15" s="314"/>
      <c r="N15" s="314"/>
      <c r="O15" s="314"/>
      <c r="P15" s="314"/>
      <c r="Q15" s="314"/>
      <c r="R15" s="314"/>
      <c r="S15" s="314"/>
      <c r="T15" s="314"/>
      <c r="U15" s="314"/>
      <c r="V15" s="314"/>
      <c r="W15" s="314"/>
      <c r="X15" s="314"/>
      <c r="Y15" s="314"/>
      <c r="Z15" s="314"/>
    </row>
    <row r="16">
      <c r="A16" s="56" t="s">
        <v>1252</v>
      </c>
      <c r="B16" s="316" t="s">
        <v>1248</v>
      </c>
      <c r="C16" s="312" t="s">
        <v>1237</v>
      </c>
      <c r="D16" s="56" t="s">
        <v>1253</v>
      </c>
      <c r="E16" s="56" t="s">
        <v>325</v>
      </c>
      <c r="F16" s="56" t="s">
        <v>1254</v>
      </c>
      <c r="G16" s="56" t="s">
        <v>1254</v>
      </c>
      <c r="H16" s="56" t="s">
        <v>1255</v>
      </c>
      <c r="I16" s="56" t="s">
        <v>1241</v>
      </c>
      <c r="J16" s="313">
        <v>44976.0</v>
      </c>
    </row>
    <row r="17">
      <c r="A17" s="56" t="s">
        <v>1256</v>
      </c>
      <c r="B17" s="317"/>
      <c r="C17" s="312" t="s">
        <v>1243</v>
      </c>
      <c r="D17" s="56" t="s">
        <v>1253</v>
      </c>
      <c r="E17" s="56" t="s">
        <v>325</v>
      </c>
      <c r="F17" s="299" t="s">
        <v>1257</v>
      </c>
      <c r="G17" s="299" t="s">
        <v>1257</v>
      </c>
      <c r="H17" s="56" t="s">
        <v>1255</v>
      </c>
      <c r="I17" s="56" t="s">
        <v>1241</v>
      </c>
      <c r="J17" s="313">
        <v>44976.0</v>
      </c>
    </row>
    <row r="18">
      <c r="A18" s="314" t="s">
        <v>1258</v>
      </c>
      <c r="B18" s="318"/>
      <c r="C18" s="318"/>
      <c r="D18" s="314"/>
      <c r="E18" s="314"/>
      <c r="F18" s="314"/>
      <c r="G18" s="314"/>
      <c r="H18" s="314"/>
      <c r="I18" s="314"/>
      <c r="J18" s="314"/>
      <c r="K18" s="314"/>
      <c r="L18" s="314"/>
      <c r="M18" s="314"/>
      <c r="N18" s="314"/>
      <c r="O18" s="314"/>
      <c r="P18" s="314"/>
      <c r="Q18" s="314"/>
      <c r="R18" s="314"/>
      <c r="S18" s="314"/>
      <c r="T18" s="314"/>
      <c r="U18" s="314"/>
      <c r="V18" s="314"/>
      <c r="W18" s="314"/>
      <c r="X18" s="314"/>
      <c r="Y18" s="314"/>
      <c r="Z18" s="314"/>
    </row>
    <row r="19">
      <c r="A19" s="299" t="s">
        <v>1259</v>
      </c>
      <c r="B19" s="319" t="s">
        <v>375</v>
      </c>
      <c r="C19" s="312" t="s">
        <v>1237</v>
      </c>
      <c r="D19" s="56" t="s">
        <v>1260</v>
      </c>
      <c r="E19" s="56" t="s">
        <v>325</v>
      </c>
      <c r="F19" s="56" t="s">
        <v>1261</v>
      </c>
      <c r="G19" s="56" t="s">
        <v>1261</v>
      </c>
      <c r="H19" s="56" t="s">
        <v>1255</v>
      </c>
      <c r="I19" s="56" t="s">
        <v>1241</v>
      </c>
      <c r="J19" s="313">
        <v>44976.0</v>
      </c>
      <c r="K19" s="299"/>
      <c r="L19" s="299"/>
      <c r="M19" s="299"/>
      <c r="N19" s="299"/>
      <c r="O19" s="299"/>
      <c r="P19" s="299"/>
      <c r="Q19" s="299"/>
      <c r="R19" s="299"/>
      <c r="S19" s="299"/>
      <c r="T19" s="299"/>
      <c r="U19" s="299"/>
      <c r="V19" s="299"/>
      <c r="W19" s="299"/>
      <c r="X19" s="299"/>
      <c r="Y19" s="299"/>
      <c r="Z19" s="299"/>
    </row>
    <row r="20">
      <c r="A20" s="56" t="s">
        <v>1262</v>
      </c>
      <c r="B20" s="87"/>
      <c r="C20" s="312" t="s">
        <v>1243</v>
      </c>
      <c r="D20" s="56" t="s">
        <v>1260</v>
      </c>
      <c r="E20" s="56" t="s">
        <v>325</v>
      </c>
      <c r="F20" s="299" t="s">
        <v>1263</v>
      </c>
      <c r="G20" s="299" t="s">
        <v>1263</v>
      </c>
      <c r="H20" s="56" t="s">
        <v>1255</v>
      </c>
      <c r="I20" s="56" t="s">
        <v>1241</v>
      </c>
      <c r="J20" s="313">
        <v>44976.0</v>
      </c>
    </row>
    <row r="21">
      <c r="A21" s="314" t="s">
        <v>1264</v>
      </c>
      <c r="B21" s="318"/>
      <c r="C21" s="318"/>
      <c r="D21" s="314"/>
      <c r="E21" s="314"/>
      <c r="F21" s="314"/>
      <c r="G21" s="314"/>
      <c r="H21" s="314"/>
      <c r="I21" s="314"/>
      <c r="J21" s="314"/>
      <c r="K21" s="314"/>
      <c r="L21" s="314"/>
      <c r="M21" s="314"/>
      <c r="N21" s="314"/>
      <c r="O21" s="314"/>
      <c r="P21" s="314"/>
      <c r="Q21" s="314"/>
      <c r="R21" s="314"/>
      <c r="S21" s="314"/>
      <c r="T21" s="314"/>
      <c r="U21" s="314"/>
      <c r="V21" s="314"/>
      <c r="W21" s="314"/>
      <c r="X21" s="314"/>
      <c r="Y21" s="314"/>
      <c r="Z21" s="314"/>
    </row>
    <row r="22">
      <c r="A22" s="56" t="s">
        <v>1265</v>
      </c>
      <c r="B22" s="316" t="s">
        <v>1248</v>
      </c>
      <c r="C22" s="312" t="s">
        <v>1237</v>
      </c>
      <c r="D22" s="56" t="s">
        <v>1266</v>
      </c>
      <c r="E22" s="56" t="s">
        <v>325</v>
      </c>
      <c r="F22" s="56" t="s">
        <v>1267</v>
      </c>
      <c r="G22" s="56" t="s">
        <v>1267</v>
      </c>
      <c r="H22" s="56" t="s">
        <v>325</v>
      </c>
      <c r="I22" s="56" t="s">
        <v>1241</v>
      </c>
      <c r="J22" s="313">
        <v>44976.0</v>
      </c>
    </row>
    <row r="23">
      <c r="A23" s="56" t="s">
        <v>1268</v>
      </c>
      <c r="B23" s="317"/>
      <c r="C23" s="312" t="s">
        <v>1243</v>
      </c>
      <c r="D23" s="56" t="s">
        <v>1266</v>
      </c>
      <c r="E23" s="56" t="s">
        <v>325</v>
      </c>
      <c r="F23" s="299" t="s">
        <v>1263</v>
      </c>
      <c r="G23" s="299" t="s">
        <v>1263</v>
      </c>
      <c r="H23" s="56" t="s">
        <v>325</v>
      </c>
      <c r="I23" s="56" t="s">
        <v>1241</v>
      </c>
      <c r="J23" s="313">
        <v>44976.0</v>
      </c>
    </row>
    <row r="24">
      <c r="A24" s="314" t="s">
        <v>1269</v>
      </c>
      <c r="B24" s="318"/>
      <c r="C24" s="318"/>
      <c r="D24" s="314"/>
      <c r="E24" s="314"/>
      <c r="F24" s="314"/>
      <c r="G24" s="314"/>
      <c r="H24" s="314"/>
      <c r="I24" s="314"/>
      <c r="J24" s="314"/>
      <c r="K24" s="314"/>
      <c r="L24" s="314"/>
      <c r="M24" s="314"/>
      <c r="N24" s="314"/>
      <c r="O24" s="314"/>
      <c r="P24" s="314"/>
      <c r="Q24" s="314"/>
      <c r="R24" s="314"/>
      <c r="S24" s="314"/>
      <c r="T24" s="314"/>
      <c r="U24" s="314"/>
      <c r="V24" s="314"/>
      <c r="W24" s="314"/>
      <c r="X24" s="314"/>
      <c r="Y24" s="314"/>
      <c r="Z24" s="314"/>
    </row>
    <row r="25">
      <c r="A25" s="56" t="s">
        <v>1270</v>
      </c>
      <c r="B25" s="316" t="s">
        <v>1248</v>
      </c>
      <c r="C25" s="312" t="s">
        <v>1237</v>
      </c>
      <c r="D25" s="56" t="s">
        <v>1271</v>
      </c>
      <c r="E25" s="56"/>
      <c r="F25" s="56" t="s">
        <v>1272</v>
      </c>
      <c r="G25" s="56" t="s">
        <v>1272</v>
      </c>
      <c r="H25" s="56" t="s">
        <v>1240</v>
      </c>
      <c r="I25" s="56"/>
      <c r="J25" s="313">
        <v>44976.0</v>
      </c>
    </row>
    <row r="26">
      <c r="A26" s="56" t="s">
        <v>1273</v>
      </c>
      <c r="B26" s="317"/>
      <c r="C26" s="312" t="s">
        <v>1243</v>
      </c>
      <c r="D26" s="56" t="s">
        <v>1271</v>
      </c>
      <c r="E26" s="56" t="s">
        <v>325</v>
      </c>
      <c r="F26" s="299" t="s">
        <v>1263</v>
      </c>
      <c r="G26" s="299" t="s">
        <v>1263</v>
      </c>
      <c r="H26" s="56" t="s">
        <v>1240</v>
      </c>
      <c r="I26" s="56" t="s">
        <v>1241</v>
      </c>
      <c r="J26" s="313">
        <v>44976.0</v>
      </c>
    </row>
    <row r="27">
      <c r="A27" s="314" t="s">
        <v>1274</v>
      </c>
      <c r="B27" s="318"/>
      <c r="C27" s="318"/>
      <c r="D27" s="314"/>
      <c r="E27" s="314"/>
      <c r="F27" s="314"/>
      <c r="G27" s="314"/>
      <c r="H27" s="314"/>
      <c r="I27" s="314"/>
      <c r="J27" s="314"/>
      <c r="K27" s="314"/>
      <c r="L27" s="314"/>
      <c r="M27" s="314"/>
      <c r="N27" s="314"/>
      <c r="O27" s="314"/>
      <c r="P27" s="314"/>
      <c r="Q27" s="314"/>
      <c r="R27" s="314"/>
      <c r="S27" s="314"/>
      <c r="T27" s="314"/>
      <c r="U27" s="314"/>
      <c r="V27" s="314"/>
      <c r="W27" s="314"/>
      <c r="X27" s="314"/>
      <c r="Y27" s="314"/>
      <c r="Z27" s="314"/>
    </row>
    <row r="28">
      <c r="A28" s="56" t="s">
        <v>1273</v>
      </c>
      <c r="B28" s="316" t="s">
        <v>1248</v>
      </c>
      <c r="C28" s="312" t="s">
        <v>1237</v>
      </c>
      <c r="D28" s="56" t="s">
        <v>1275</v>
      </c>
      <c r="E28" s="56" t="s">
        <v>325</v>
      </c>
      <c r="F28" s="56" t="s">
        <v>1276</v>
      </c>
      <c r="G28" s="56" t="s">
        <v>1277</v>
      </c>
      <c r="H28" s="56" t="s">
        <v>1240</v>
      </c>
      <c r="I28" s="56" t="s">
        <v>1241</v>
      </c>
      <c r="J28" s="313">
        <v>44976.0</v>
      </c>
    </row>
    <row r="29">
      <c r="A29" s="56" t="s">
        <v>1278</v>
      </c>
      <c r="B29" s="317"/>
      <c r="C29" s="312" t="s">
        <v>1243</v>
      </c>
      <c r="D29" s="56" t="s">
        <v>1275</v>
      </c>
      <c r="E29" s="56" t="s">
        <v>325</v>
      </c>
      <c r="F29" s="299" t="s">
        <v>1263</v>
      </c>
      <c r="G29" s="299" t="s">
        <v>1263</v>
      </c>
      <c r="H29" s="56" t="s">
        <v>1240</v>
      </c>
      <c r="I29" s="56" t="s">
        <v>1241</v>
      </c>
      <c r="J29" s="313">
        <v>44976.0</v>
      </c>
    </row>
    <row r="30">
      <c r="A30" s="314" t="s">
        <v>1279</v>
      </c>
      <c r="B30" s="318"/>
      <c r="C30" s="318"/>
      <c r="D30" s="314"/>
      <c r="E30" s="314"/>
      <c r="F30" s="314"/>
      <c r="G30" s="314"/>
      <c r="H30" s="314"/>
      <c r="I30" s="314" t="s">
        <v>1241</v>
      </c>
      <c r="J30" s="314"/>
      <c r="K30" s="314"/>
      <c r="L30" s="314"/>
      <c r="M30" s="314"/>
      <c r="N30" s="314"/>
      <c r="O30" s="314"/>
      <c r="P30" s="314"/>
      <c r="Q30" s="314"/>
      <c r="R30" s="314"/>
      <c r="S30" s="314"/>
      <c r="T30" s="314"/>
      <c r="U30" s="314"/>
      <c r="V30" s="314"/>
      <c r="W30" s="314"/>
      <c r="X30" s="314"/>
      <c r="Y30" s="314"/>
      <c r="Z30" s="314"/>
    </row>
    <row r="31">
      <c r="A31" s="56" t="s">
        <v>1280</v>
      </c>
      <c r="B31" s="316" t="s">
        <v>1248</v>
      </c>
      <c r="C31" s="312" t="s">
        <v>1237</v>
      </c>
      <c r="D31" s="56" t="s">
        <v>1281</v>
      </c>
      <c r="E31" s="56" t="s">
        <v>325</v>
      </c>
      <c r="F31" s="56" t="s">
        <v>1282</v>
      </c>
      <c r="G31" s="56" t="s">
        <v>1282</v>
      </c>
      <c r="H31" s="56" t="s">
        <v>1240</v>
      </c>
      <c r="I31" s="56" t="s">
        <v>1241</v>
      </c>
      <c r="J31" s="313">
        <v>44976.0</v>
      </c>
    </row>
    <row r="32">
      <c r="A32" s="56" t="s">
        <v>1283</v>
      </c>
      <c r="B32" s="317"/>
      <c r="C32" s="312" t="s">
        <v>1243</v>
      </c>
      <c r="D32" s="56" t="s">
        <v>1281</v>
      </c>
      <c r="E32" s="56" t="s">
        <v>325</v>
      </c>
      <c r="F32" s="299" t="s">
        <v>1263</v>
      </c>
      <c r="G32" s="299" t="s">
        <v>1263</v>
      </c>
      <c r="H32" s="56" t="s">
        <v>1240</v>
      </c>
      <c r="I32" s="56" t="s">
        <v>1241</v>
      </c>
      <c r="J32" s="313">
        <v>44976.0</v>
      </c>
    </row>
    <row r="33">
      <c r="A33" s="314" t="s">
        <v>1284</v>
      </c>
      <c r="B33" s="318"/>
      <c r="C33" s="318"/>
      <c r="D33" s="314"/>
      <c r="E33" s="314"/>
      <c r="F33" s="314"/>
      <c r="G33" s="314"/>
      <c r="H33" s="314"/>
      <c r="I33" s="314"/>
      <c r="J33" s="314"/>
      <c r="K33" s="314"/>
      <c r="L33" s="314"/>
      <c r="M33" s="314"/>
      <c r="N33" s="314"/>
      <c r="O33" s="314"/>
      <c r="P33" s="314"/>
      <c r="Q33" s="314"/>
      <c r="R33" s="314"/>
      <c r="S33" s="314"/>
      <c r="T33" s="314"/>
      <c r="U33" s="314"/>
      <c r="V33" s="314"/>
      <c r="W33" s="314"/>
      <c r="X33" s="314"/>
      <c r="Y33" s="314"/>
      <c r="Z33" s="314"/>
    </row>
    <row r="34">
      <c r="A34" s="56" t="s">
        <v>1285</v>
      </c>
      <c r="B34" s="316" t="s">
        <v>1248</v>
      </c>
      <c r="C34" s="312" t="s">
        <v>1237</v>
      </c>
      <c r="D34" s="56" t="s">
        <v>1286</v>
      </c>
      <c r="E34" s="56" t="s">
        <v>325</v>
      </c>
      <c r="F34" s="56" t="s">
        <v>1287</v>
      </c>
      <c r="G34" s="56" t="s">
        <v>1287</v>
      </c>
      <c r="H34" s="56" t="s">
        <v>1255</v>
      </c>
      <c r="I34" s="56" t="s">
        <v>1241</v>
      </c>
      <c r="J34" s="313">
        <v>44976.0</v>
      </c>
    </row>
    <row r="35">
      <c r="A35" s="56" t="s">
        <v>1288</v>
      </c>
      <c r="B35" s="317"/>
      <c r="C35" s="312" t="s">
        <v>1243</v>
      </c>
      <c r="D35" s="56" t="s">
        <v>1286</v>
      </c>
      <c r="E35" s="56" t="s">
        <v>325</v>
      </c>
      <c r="F35" s="299" t="s">
        <v>1263</v>
      </c>
      <c r="G35" s="299" t="s">
        <v>1263</v>
      </c>
      <c r="H35" s="56" t="s">
        <v>1255</v>
      </c>
      <c r="I35" s="56" t="s">
        <v>1241</v>
      </c>
      <c r="J35" s="313">
        <v>44976.0</v>
      </c>
    </row>
    <row r="36">
      <c r="A36" s="314" t="s">
        <v>1289</v>
      </c>
      <c r="B36" s="318"/>
      <c r="C36" s="318"/>
      <c r="D36" s="314"/>
      <c r="E36" s="314"/>
      <c r="F36" s="314"/>
      <c r="G36" s="314"/>
      <c r="H36" s="314"/>
      <c r="I36" s="314" t="s">
        <v>1241</v>
      </c>
      <c r="J36" s="314"/>
      <c r="K36" s="314"/>
      <c r="L36" s="314"/>
      <c r="M36" s="314"/>
      <c r="N36" s="314"/>
      <c r="O36" s="314"/>
      <c r="P36" s="314"/>
      <c r="Q36" s="314"/>
      <c r="R36" s="314"/>
      <c r="S36" s="314"/>
      <c r="T36" s="314"/>
      <c r="U36" s="314"/>
      <c r="V36" s="314"/>
      <c r="W36" s="314"/>
      <c r="X36" s="314"/>
      <c r="Y36" s="314"/>
      <c r="Z36" s="314"/>
    </row>
    <row r="37">
      <c r="A37" s="56" t="s">
        <v>1290</v>
      </c>
      <c r="B37" s="316" t="s">
        <v>1248</v>
      </c>
      <c r="C37" s="312" t="s">
        <v>1237</v>
      </c>
      <c r="D37" s="56" t="s">
        <v>1291</v>
      </c>
      <c r="E37" s="56" t="s">
        <v>325</v>
      </c>
      <c r="F37" s="56" t="s">
        <v>1292</v>
      </c>
      <c r="G37" s="56" t="s">
        <v>1292</v>
      </c>
      <c r="H37" s="56" t="s">
        <v>1255</v>
      </c>
      <c r="I37" s="56" t="s">
        <v>1241</v>
      </c>
      <c r="J37" s="313">
        <v>44976.0</v>
      </c>
    </row>
    <row r="38">
      <c r="A38" s="56" t="s">
        <v>1293</v>
      </c>
      <c r="B38" s="317"/>
      <c r="C38" s="312" t="s">
        <v>1243</v>
      </c>
      <c r="D38" s="56" t="s">
        <v>1291</v>
      </c>
      <c r="E38" s="56" t="s">
        <v>325</v>
      </c>
      <c r="F38" s="299" t="s">
        <v>1263</v>
      </c>
      <c r="G38" s="299" t="s">
        <v>1263</v>
      </c>
      <c r="H38" s="56" t="s">
        <v>1255</v>
      </c>
      <c r="I38" s="56" t="s">
        <v>1241</v>
      </c>
      <c r="J38" s="313">
        <v>44976.0</v>
      </c>
    </row>
    <row r="39">
      <c r="A39" s="314" t="s">
        <v>1294</v>
      </c>
      <c r="B39" s="318"/>
      <c r="C39" s="318"/>
      <c r="D39" s="314"/>
      <c r="E39" s="314"/>
      <c r="F39" s="314"/>
      <c r="G39" s="314"/>
      <c r="H39" s="314"/>
      <c r="I39" s="314"/>
      <c r="J39" s="314"/>
      <c r="K39" s="314"/>
      <c r="L39" s="314"/>
      <c r="M39" s="314"/>
      <c r="N39" s="314"/>
      <c r="O39" s="314"/>
      <c r="P39" s="314"/>
      <c r="Q39" s="314"/>
      <c r="R39" s="314"/>
      <c r="S39" s="314"/>
      <c r="T39" s="314"/>
      <c r="U39" s="314"/>
      <c r="V39" s="314"/>
      <c r="W39" s="314"/>
      <c r="X39" s="314"/>
      <c r="Y39" s="314"/>
      <c r="Z39" s="314"/>
    </row>
    <row r="40">
      <c r="A40" s="56" t="s">
        <v>1295</v>
      </c>
      <c r="B40" s="316" t="s">
        <v>1248</v>
      </c>
      <c r="C40" s="312" t="s">
        <v>1237</v>
      </c>
      <c r="D40" s="56" t="s">
        <v>1296</v>
      </c>
      <c r="E40" s="56" t="s">
        <v>325</v>
      </c>
      <c r="F40" s="56" t="s">
        <v>1297</v>
      </c>
      <c r="G40" s="56" t="s">
        <v>1297</v>
      </c>
      <c r="H40" s="56" t="s">
        <v>1255</v>
      </c>
      <c r="I40" s="56" t="s">
        <v>1241</v>
      </c>
      <c r="J40" s="313">
        <v>44976.0</v>
      </c>
    </row>
    <row r="41">
      <c r="A41" s="56" t="s">
        <v>1298</v>
      </c>
      <c r="B41" s="317"/>
      <c r="C41" s="312" t="s">
        <v>1243</v>
      </c>
      <c r="D41" s="56" t="s">
        <v>1296</v>
      </c>
      <c r="E41" s="56" t="s">
        <v>325</v>
      </c>
      <c r="F41" s="299" t="s">
        <v>1263</v>
      </c>
      <c r="G41" s="299" t="s">
        <v>1263</v>
      </c>
      <c r="H41" s="56" t="s">
        <v>1255</v>
      </c>
      <c r="I41" s="56" t="s">
        <v>1241</v>
      </c>
      <c r="J41" s="313">
        <v>44976.0</v>
      </c>
    </row>
    <row r="42">
      <c r="A42" s="314" t="s">
        <v>1299</v>
      </c>
      <c r="B42" s="318"/>
      <c r="C42" s="318"/>
      <c r="D42" s="314"/>
      <c r="E42" s="314"/>
      <c r="F42" s="314"/>
      <c r="G42" s="314"/>
      <c r="H42" s="314"/>
      <c r="I42" s="314"/>
      <c r="J42" s="314"/>
      <c r="K42" s="314"/>
      <c r="L42" s="314"/>
      <c r="M42" s="314"/>
      <c r="N42" s="314"/>
      <c r="O42" s="314"/>
      <c r="P42" s="314"/>
      <c r="Q42" s="314"/>
      <c r="R42" s="314"/>
      <c r="S42" s="314"/>
      <c r="T42" s="314"/>
      <c r="U42" s="314"/>
      <c r="V42" s="314"/>
      <c r="W42" s="314"/>
      <c r="X42" s="314"/>
      <c r="Y42" s="314"/>
      <c r="Z42" s="314"/>
    </row>
    <row r="43">
      <c r="A43" s="299" t="s">
        <v>1300</v>
      </c>
      <c r="B43" s="316" t="s">
        <v>1248</v>
      </c>
      <c r="C43" s="312" t="s">
        <v>1237</v>
      </c>
      <c r="D43" s="299" t="s">
        <v>1301</v>
      </c>
      <c r="E43" s="56" t="s">
        <v>325</v>
      </c>
      <c r="F43" s="56" t="s">
        <v>1302</v>
      </c>
      <c r="G43" s="56" t="s">
        <v>1302</v>
      </c>
      <c r="H43" s="299" t="s">
        <v>1255</v>
      </c>
      <c r="I43" s="56" t="s">
        <v>1241</v>
      </c>
      <c r="J43" s="313">
        <v>44976.0</v>
      </c>
      <c r="K43" s="299"/>
      <c r="L43" s="299"/>
      <c r="M43" s="299"/>
      <c r="N43" s="299"/>
      <c r="O43" s="299"/>
      <c r="P43" s="299"/>
      <c r="Q43" s="299"/>
      <c r="R43" s="299"/>
      <c r="S43" s="299"/>
      <c r="T43" s="299"/>
      <c r="U43" s="299"/>
      <c r="V43" s="299"/>
      <c r="W43" s="299"/>
      <c r="X43" s="299"/>
      <c r="Y43" s="299"/>
      <c r="Z43" s="299"/>
    </row>
    <row r="44">
      <c r="A44" s="299" t="s">
        <v>1303</v>
      </c>
      <c r="B44" s="320"/>
      <c r="C44" s="312" t="s">
        <v>1243</v>
      </c>
      <c r="D44" s="299" t="s">
        <v>1301</v>
      </c>
      <c r="E44" s="56" t="s">
        <v>325</v>
      </c>
      <c r="F44" s="299" t="s">
        <v>1263</v>
      </c>
      <c r="G44" s="299" t="s">
        <v>1263</v>
      </c>
      <c r="H44" s="56" t="s">
        <v>1255</v>
      </c>
      <c r="I44" s="56" t="s">
        <v>1241</v>
      </c>
      <c r="J44" s="313">
        <v>44976.0</v>
      </c>
    </row>
    <row r="45">
      <c r="B45" s="321"/>
      <c r="C45" s="322"/>
    </row>
    <row r="46">
      <c r="B46" s="321"/>
      <c r="C46" s="322"/>
    </row>
    <row r="47">
      <c r="B47" s="321"/>
      <c r="C47" s="322"/>
    </row>
    <row r="48">
      <c r="B48" s="321"/>
      <c r="C48" s="322"/>
    </row>
    <row r="49">
      <c r="B49" s="321"/>
      <c r="C49" s="322"/>
    </row>
    <row r="50">
      <c r="B50" s="321"/>
      <c r="C50" s="322"/>
    </row>
    <row r="51">
      <c r="B51" s="321"/>
      <c r="C51" s="322"/>
    </row>
    <row r="52">
      <c r="B52" s="323"/>
      <c r="C52" s="322"/>
    </row>
    <row r="53">
      <c r="B53" s="324"/>
      <c r="C53" s="324"/>
    </row>
    <row r="54">
      <c r="B54" s="325"/>
      <c r="C54" s="325"/>
    </row>
    <row r="55">
      <c r="B55" s="325"/>
      <c r="C55" s="325"/>
    </row>
    <row r="56">
      <c r="B56" s="325"/>
      <c r="C56" s="325"/>
    </row>
    <row r="57">
      <c r="B57" s="325"/>
      <c r="C57" s="325"/>
    </row>
    <row r="58">
      <c r="B58" s="325"/>
      <c r="C58" s="325"/>
    </row>
    <row r="59">
      <c r="B59" s="325"/>
      <c r="C59" s="325"/>
    </row>
    <row r="60">
      <c r="B60" s="325"/>
      <c r="C60" s="325"/>
    </row>
    <row r="61">
      <c r="B61" s="325"/>
      <c r="C61" s="325"/>
    </row>
    <row r="62">
      <c r="B62" s="325"/>
      <c r="C62" s="325"/>
    </row>
    <row r="63">
      <c r="B63" s="325"/>
      <c r="C63" s="325"/>
    </row>
    <row r="64">
      <c r="B64" s="325"/>
      <c r="C64" s="325"/>
    </row>
    <row r="65">
      <c r="B65" s="325"/>
      <c r="C65" s="325"/>
    </row>
    <row r="66">
      <c r="B66" s="325"/>
      <c r="C66" s="325"/>
    </row>
    <row r="67">
      <c r="B67" s="325"/>
      <c r="C67" s="325"/>
    </row>
    <row r="68">
      <c r="B68" s="325"/>
      <c r="C68" s="325"/>
    </row>
    <row r="69">
      <c r="B69" s="325"/>
      <c r="C69" s="325"/>
    </row>
    <row r="70">
      <c r="B70" s="325"/>
      <c r="C70" s="325"/>
    </row>
    <row r="71">
      <c r="B71" s="325"/>
      <c r="C71" s="325"/>
    </row>
    <row r="72">
      <c r="B72" s="325"/>
      <c r="C72" s="325"/>
    </row>
    <row r="73">
      <c r="B73" s="325"/>
      <c r="C73" s="325"/>
    </row>
    <row r="74">
      <c r="B74" s="325"/>
      <c r="C74" s="325"/>
    </row>
    <row r="75">
      <c r="B75" s="325"/>
      <c r="C75" s="325"/>
    </row>
    <row r="76">
      <c r="B76" s="325"/>
      <c r="C76" s="325"/>
    </row>
    <row r="77">
      <c r="B77" s="325"/>
      <c r="C77" s="325"/>
    </row>
    <row r="78">
      <c r="B78" s="325"/>
      <c r="C78" s="325"/>
    </row>
    <row r="79">
      <c r="B79" s="325"/>
      <c r="C79" s="325"/>
    </row>
    <row r="80">
      <c r="B80" s="325"/>
      <c r="C80" s="325"/>
    </row>
    <row r="81">
      <c r="B81" s="325"/>
      <c r="C81" s="325"/>
    </row>
    <row r="82">
      <c r="B82" s="325"/>
      <c r="C82" s="325"/>
    </row>
    <row r="83">
      <c r="B83" s="325"/>
      <c r="C83" s="325"/>
    </row>
    <row r="84">
      <c r="B84" s="325"/>
      <c r="C84" s="325"/>
    </row>
    <row r="85">
      <c r="B85" s="325"/>
      <c r="C85" s="325"/>
    </row>
    <row r="86">
      <c r="B86" s="325"/>
      <c r="C86" s="325"/>
    </row>
    <row r="87">
      <c r="B87" s="325"/>
      <c r="C87" s="325"/>
    </row>
    <row r="88">
      <c r="B88" s="325"/>
      <c r="C88" s="325"/>
    </row>
    <row r="89">
      <c r="B89" s="325"/>
      <c r="C89" s="325"/>
    </row>
    <row r="90">
      <c r="B90" s="325"/>
      <c r="C90" s="325"/>
    </row>
    <row r="91">
      <c r="B91" s="325"/>
      <c r="C91" s="325"/>
    </row>
    <row r="92">
      <c r="B92" s="325"/>
      <c r="C92" s="325"/>
    </row>
    <row r="93">
      <c r="B93" s="325"/>
      <c r="C93" s="325"/>
    </row>
    <row r="94">
      <c r="B94" s="325"/>
      <c r="C94" s="325"/>
    </row>
    <row r="95">
      <c r="B95" s="325"/>
      <c r="C95" s="325"/>
    </row>
    <row r="96">
      <c r="B96" s="325"/>
      <c r="C96" s="325"/>
    </row>
    <row r="97">
      <c r="B97" s="325"/>
      <c r="C97" s="325"/>
    </row>
    <row r="98">
      <c r="B98" s="325"/>
      <c r="C98" s="325"/>
    </row>
    <row r="99">
      <c r="B99" s="325"/>
      <c r="C99" s="325"/>
    </row>
    <row r="100">
      <c r="B100" s="325"/>
      <c r="C100" s="325"/>
    </row>
    <row r="101">
      <c r="B101" s="325"/>
      <c r="C101" s="325"/>
    </row>
    <row r="102">
      <c r="B102" s="325"/>
      <c r="C102" s="325"/>
    </row>
    <row r="103">
      <c r="B103" s="325"/>
      <c r="C103" s="325"/>
    </row>
    <row r="104">
      <c r="B104" s="325"/>
      <c r="C104" s="325"/>
    </row>
    <row r="105">
      <c r="B105" s="325"/>
      <c r="C105" s="325"/>
    </row>
    <row r="106">
      <c r="B106" s="325"/>
      <c r="C106" s="325"/>
    </row>
    <row r="107">
      <c r="B107" s="325"/>
      <c r="C107" s="325"/>
    </row>
    <row r="108">
      <c r="B108" s="325"/>
      <c r="C108" s="325"/>
    </row>
    <row r="109">
      <c r="B109" s="325"/>
      <c r="C109" s="325"/>
    </row>
    <row r="110">
      <c r="B110" s="325"/>
      <c r="C110" s="325"/>
    </row>
    <row r="111">
      <c r="B111" s="325"/>
      <c r="C111" s="325"/>
    </row>
    <row r="112">
      <c r="B112" s="325"/>
      <c r="C112" s="325"/>
    </row>
    <row r="113">
      <c r="B113" s="325"/>
      <c r="C113" s="325"/>
    </row>
    <row r="114">
      <c r="B114" s="325"/>
      <c r="C114" s="325"/>
    </row>
    <row r="115">
      <c r="B115" s="325"/>
      <c r="C115" s="325"/>
    </row>
    <row r="116">
      <c r="B116" s="325"/>
      <c r="C116" s="325"/>
    </row>
    <row r="117">
      <c r="B117" s="325"/>
      <c r="C117" s="325"/>
    </row>
    <row r="118">
      <c r="B118" s="325"/>
      <c r="C118" s="325"/>
    </row>
    <row r="119">
      <c r="B119" s="325"/>
      <c r="C119" s="325"/>
    </row>
    <row r="120">
      <c r="B120" s="325"/>
      <c r="C120" s="325"/>
    </row>
    <row r="121">
      <c r="B121" s="325"/>
      <c r="C121" s="325"/>
    </row>
    <row r="122">
      <c r="B122" s="325"/>
      <c r="C122" s="325"/>
    </row>
    <row r="123">
      <c r="B123" s="325"/>
      <c r="C123" s="325"/>
    </row>
    <row r="124">
      <c r="B124" s="325"/>
      <c r="C124" s="325"/>
    </row>
    <row r="125">
      <c r="B125" s="325"/>
      <c r="C125" s="325"/>
    </row>
    <row r="126">
      <c r="B126" s="325"/>
      <c r="C126" s="325"/>
    </row>
    <row r="127">
      <c r="B127" s="325"/>
      <c r="C127" s="325"/>
    </row>
    <row r="128">
      <c r="B128" s="325"/>
      <c r="C128" s="325"/>
    </row>
    <row r="129">
      <c r="B129" s="325"/>
      <c r="C129" s="325"/>
    </row>
    <row r="130">
      <c r="B130" s="325"/>
      <c r="C130" s="325"/>
    </row>
    <row r="131">
      <c r="B131" s="325"/>
      <c r="C131" s="325"/>
    </row>
    <row r="132">
      <c r="B132" s="325"/>
      <c r="C132" s="325"/>
    </row>
    <row r="133">
      <c r="B133" s="325"/>
      <c r="C133" s="325"/>
    </row>
    <row r="134">
      <c r="B134" s="325"/>
      <c r="C134" s="325"/>
    </row>
    <row r="135">
      <c r="B135" s="325"/>
      <c r="C135" s="325"/>
    </row>
    <row r="136">
      <c r="B136" s="325"/>
      <c r="C136" s="325"/>
    </row>
    <row r="137">
      <c r="B137" s="325"/>
      <c r="C137" s="325"/>
    </row>
    <row r="138">
      <c r="B138" s="325"/>
      <c r="C138" s="325"/>
    </row>
    <row r="139">
      <c r="B139" s="325"/>
      <c r="C139" s="325"/>
    </row>
    <row r="140">
      <c r="B140" s="325"/>
      <c r="C140" s="325"/>
    </row>
    <row r="141">
      <c r="B141" s="325"/>
      <c r="C141" s="325"/>
    </row>
    <row r="142">
      <c r="B142" s="325"/>
      <c r="C142" s="325"/>
    </row>
    <row r="143">
      <c r="B143" s="325"/>
      <c r="C143" s="325"/>
    </row>
    <row r="144">
      <c r="B144" s="325"/>
      <c r="C144" s="325"/>
    </row>
    <row r="145">
      <c r="B145" s="325"/>
      <c r="C145" s="325"/>
    </row>
    <row r="146">
      <c r="B146" s="325"/>
      <c r="C146" s="325"/>
    </row>
    <row r="147">
      <c r="B147" s="325"/>
      <c r="C147" s="325"/>
    </row>
    <row r="148">
      <c r="B148" s="325"/>
      <c r="C148" s="325"/>
    </row>
    <row r="149">
      <c r="B149" s="325"/>
      <c r="C149" s="325"/>
    </row>
    <row r="150">
      <c r="B150" s="325"/>
      <c r="C150" s="325"/>
    </row>
    <row r="151">
      <c r="B151" s="325"/>
      <c r="C151" s="325"/>
    </row>
    <row r="152">
      <c r="B152" s="325"/>
      <c r="C152" s="325"/>
    </row>
    <row r="153">
      <c r="B153" s="325"/>
      <c r="C153" s="325"/>
    </row>
    <row r="154">
      <c r="B154" s="325"/>
      <c r="C154" s="325"/>
    </row>
    <row r="155">
      <c r="B155" s="325"/>
      <c r="C155" s="325"/>
    </row>
    <row r="156">
      <c r="B156" s="325"/>
      <c r="C156" s="325"/>
    </row>
    <row r="157">
      <c r="B157" s="325"/>
      <c r="C157" s="325"/>
    </row>
    <row r="158">
      <c r="B158" s="325"/>
      <c r="C158" s="325"/>
    </row>
    <row r="159">
      <c r="B159" s="325"/>
      <c r="C159" s="325"/>
    </row>
    <row r="160">
      <c r="B160" s="325"/>
      <c r="C160" s="325"/>
    </row>
    <row r="161">
      <c r="B161" s="325"/>
      <c r="C161" s="325"/>
    </row>
    <row r="162">
      <c r="B162" s="325"/>
      <c r="C162" s="325"/>
    </row>
    <row r="163">
      <c r="B163" s="325"/>
      <c r="C163" s="325"/>
    </row>
    <row r="164">
      <c r="B164" s="325"/>
      <c r="C164" s="325"/>
    </row>
    <row r="165">
      <c r="B165" s="325"/>
      <c r="C165" s="325"/>
    </row>
    <row r="166">
      <c r="B166" s="325"/>
      <c r="C166" s="325"/>
    </row>
    <row r="167">
      <c r="B167" s="325"/>
      <c r="C167" s="325"/>
    </row>
    <row r="168">
      <c r="B168" s="325"/>
      <c r="C168" s="325"/>
    </row>
    <row r="169">
      <c r="B169" s="325"/>
      <c r="C169" s="325"/>
    </row>
    <row r="170">
      <c r="B170" s="325"/>
      <c r="C170" s="325"/>
    </row>
    <row r="171">
      <c r="B171" s="325"/>
      <c r="C171" s="325"/>
    </row>
    <row r="172">
      <c r="B172" s="325"/>
      <c r="C172" s="325"/>
    </row>
    <row r="173">
      <c r="B173" s="325"/>
      <c r="C173" s="325"/>
    </row>
    <row r="174">
      <c r="B174" s="325"/>
      <c r="C174" s="325"/>
    </row>
    <row r="175">
      <c r="B175" s="325"/>
      <c r="C175" s="325"/>
    </row>
    <row r="176">
      <c r="B176" s="325"/>
      <c r="C176" s="325"/>
    </row>
    <row r="177">
      <c r="B177" s="325"/>
      <c r="C177" s="325"/>
    </row>
    <row r="178">
      <c r="B178" s="325"/>
      <c r="C178" s="325"/>
    </row>
    <row r="179">
      <c r="B179" s="325"/>
      <c r="C179" s="325"/>
    </row>
    <row r="180">
      <c r="B180" s="325"/>
      <c r="C180" s="325"/>
    </row>
    <row r="181">
      <c r="B181" s="325"/>
      <c r="C181" s="325"/>
    </row>
    <row r="182">
      <c r="B182" s="325"/>
      <c r="C182" s="325"/>
    </row>
    <row r="183">
      <c r="B183" s="325"/>
      <c r="C183" s="325"/>
    </row>
    <row r="184">
      <c r="B184" s="325"/>
      <c r="C184" s="325"/>
    </row>
    <row r="185">
      <c r="B185" s="325"/>
      <c r="C185" s="325"/>
    </row>
    <row r="186">
      <c r="B186" s="325"/>
      <c r="C186" s="325"/>
    </row>
    <row r="187">
      <c r="B187" s="325"/>
      <c r="C187" s="325"/>
    </row>
    <row r="188">
      <c r="B188" s="325"/>
      <c r="C188" s="325"/>
    </row>
    <row r="189">
      <c r="B189" s="325"/>
      <c r="C189" s="325"/>
    </row>
    <row r="190">
      <c r="B190" s="325"/>
      <c r="C190" s="325"/>
    </row>
    <row r="191">
      <c r="B191" s="325"/>
      <c r="C191" s="325"/>
    </row>
    <row r="192">
      <c r="B192" s="325"/>
      <c r="C192" s="325"/>
    </row>
    <row r="193">
      <c r="B193" s="325"/>
      <c r="C193" s="325"/>
    </row>
    <row r="194">
      <c r="B194" s="325"/>
      <c r="C194" s="325"/>
    </row>
    <row r="195">
      <c r="B195" s="325"/>
      <c r="C195" s="325"/>
    </row>
    <row r="196">
      <c r="B196" s="325"/>
      <c r="C196" s="325"/>
    </row>
    <row r="197">
      <c r="B197" s="325"/>
      <c r="C197" s="325"/>
    </row>
    <row r="198">
      <c r="B198" s="325"/>
      <c r="C198" s="325"/>
    </row>
    <row r="199">
      <c r="B199" s="325"/>
      <c r="C199" s="325"/>
    </row>
    <row r="200">
      <c r="B200" s="325"/>
      <c r="C200" s="325"/>
    </row>
    <row r="201">
      <c r="B201" s="325"/>
      <c r="C201" s="325"/>
    </row>
    <row r="202">
      <c r="B202" s="325"/>
      <c r="C202" s="325"/>
    </row>
    <row r="203">
      <c r="B203" s="325"/>
      <c r="C203" s="325"/>
    </row>
    <row r="204">
      <c r="B204" s="325"/>
      <c r="C204" s="325"/>
    </row>
    <row r="205">
      <c r="B205" s="325"/>
      <c r="C205" s="325"/>
    </row>
    <row r="206">
      <c r="B206" s="325"/>
      <c r="C206" s="325"/>
    </row>
    <row r="207">
      <c r="B207" s="325"/>
      <c r="C207" s="325"/>
    </row>
    <row r="208">
      <c r="B208" s="325"/>
      <c r="C208" s="325"/>
    </row>
    <row r="209">
      <c r="B209" s="325"/>
      <c r="C209" s="325"/>
    </row>
    <row r="210">
      <c r="B210" s="325"/>
      <c r="C210" s="325"/>
    </row>
    <row r="211">
      <c r="B211" s="325"/>
      <c r="C211" s="325"/>
    </row>
    <row r="212">
      <c r="B212" s="325"/>
      <c r="C212" s="325"/>
    </row>
    <row r="213">
      <c r="B213" s="325"/>
      <c r="C213" s="325"/>
    </row>
    <row r="214">
      <c r="B214" s="325"/>
      <c r="C214" s="325"/>
    </row>
    <row r="215">
      <c r="B215" s="325"/>
      <c r="C215" s="325"/>
    </row>
    <row r="216">
      <c r="B216" s="325"/>
      <c r="C216" s="325"/>
    </row>
    <row r="217">
      <c r="B217" s="325"/>
      <c r="C217" s="325"/>
    </row>
    <row r="218">
      <c r="B218" s="325"/>
      <c r="C218" s="325"/>
    </row>
    <row r="219">
      <c r="B219" s="325"/>
      <c r="C219" s="325"/>
    </row>
    <row r="220">
      <c r="B220" s="325"/>
      <c r="C220" s="325"/>
    </row>
    <row r="221">
      <c r="B221" s="325"/>
      <c r="C221" s="325"/>
    </row>
    <row r="222">
      <c r="B222" s="325"/>
      <c r="C222" s="325"/>
    </row>
    <row r="223">
      <c r="B223" s="325"/>
      <c r="C223" s="325"/>
    </row>
    <row r="224">
      <c r="B224" s="325"/>
      <c r="C224" s="325"/>
    </row>
    <row r="225">
      <c r="B225" s="325"/>
      <c r="C225" s="325"/>
    </row>
    <row r="226">
      <c r="B226" s="325"/>
      <c r="C226" s="325"/>
    </row>
    <row r="227">
      <c r="B227" s="325"/>
      <c r="C227" s="325"/>
    </row>
    <row r="228">
      <c r="B228" s="325"/>
      <c r="C228" s="325"/>
    </row>
    <row r="229">
      <c r="B229" s="325"/>
      <c r="C229" s="325"/>
    </row>
    <row r="230">
      <c r="B230" s="325"/>
      <c r="C230" s="325"/>
    </row>
    <row r="231">
      <c r="B231" s="325"/>
      <c r="C231" s="325"/>
    </row>
    <row r="232">
      <c r="B232" s="325"/>
      <c r="C232" s="325"/>
    </row>
    <row r="233">
      <c r="B233" s="325"/>
      <c r="C233" s="325"/>
    </row>
    <row r="234">
      <c r="B234" s="325"/>
      <c r="C234" s="325"/>
    </row>
    <row r="235">
      <c r="B235" s="325"/>
      <c r="C235" s="325"/>
    </row>
    <row r="236">
      <c r="B236" s="325"/>
      <c r="C236" s="325"/>
    </row>
    <row r="237">
      <c r="B237" s="325"/>
      <c r="C237" s="325"/>
    </row>
    <row r="238">
      <c r="B238" s="325"/>
      <c r="C238" s="325"/>
    </row>
    <row r="239">
      <c r="B239" s="325"/>
      <c r="C239" s="325"/>
    </row>
    <row r="240">
      <c r="B240" s="325"/>
      <c r="C240" s="325"/>
    </row>
    <row r="241">
      <c r="B241" s="325"/>
      <c r="C241" s="325"/>
    </row>
    <row r="242">
      <c r="B242" s="325"/>
      <c r="C242" s="325"/>
    </row>
    <row r="243">
      <c r="B243" s="325"/>
      <c r="C243" s="325"/>
    </row>
    <row r="244">
      <c r="B244" s="325"/>
      <c r="C244" s="325"/>
    </row>
    <row r="245">
      <c r="B245" s="325"/>
      <c r="C245" s="325"/>
    </row>
    <row r="246">
      <c r="B246" s="325"/>
      <c r="C246" s="325"/>
    </row>
    <row r="247">
      <c r="B247" s="325"/>
      <c r="C247" s="325"/>
    </row>
    <row r="248">
      <c r="B248" s="325"/>
      <c r="C248" s="325"/>
    </row>
    <row r="249">
      <c r="B249" s="325"/>
      <c r="C249" s="325"/>
    </row>
    <row r="250">
      <c r="B250" s="325"/>
      <c r="C250" s="325"/>
    </row>
    <row r="251">
      <c r="B251" s="325"/>
      <c r="C251" s="325"/>
    </row>
    <row r="252">
      <c r="B252" s="325"/>
      <c r="C252" s="325"/>
    </row>
    <row r="253">
      <c r="B253" s="325"/>
      <c r="C253" s="325"/>
    </row>
    <row r="254">
      <c r="B254" s="325"/>
      <c r="C254" s="325"/>
    </row>
    <row r="255">
      <c r="B255" s="325"/>
      <c r="C255" s="325"/>
    </row>
    <row r="256">
      <c r="B256" s="325"/>
      <c r="C256" s="325"/>
    </row>
    <row r="257">
      <c r="B257" s="325"/>
      <c r="C257" s="325"/>
    </row>
    <row r="258">
      <c r="B258" s="325"/>
      <c r="C258" s="325"/>
    </row>
    <row r="259">
      <c r="B259" s="325"/>
      <c r="C259" s="325"/>
    </row>
    <row r="260">
      <c r="B260" s="325"/>
      <c r="C260" s="325"/>
    </row>
    <row r="261">
      <c r="B261" s="325"/>
      <c r="C261" s="325"/>
    </row>
    <row r="262">
      <c r="B262" s="325"/>
      <c r="C262" s="325"/>
    </row>
    <row r="263">
      <c r="B263" s="325"/>
      <c r="C263" s="325"/>
    </row>
    <row r="264">
      <c r="B264" s="325"/>
      <c r="C264" s="325"/>
    </row>
    <row r="265">
      <c r="B265" s="325"/>
      <c r="C265" s="325"/>
    </row>
    <row r="266">
      <c r="B266" s="325"/>
      <c r="C266" s="325"/>
    </row>
    <row r="267">
      <c r="B267" s="325"/>
      <c r="C267" s="325"/>
    </row>
    <row r="268">
      <c r="B268" s="325"/>
      <c r="C268" s="325"/>
    </row>
    <row r="269">
      <c r="B269" s="325"/>
      <c r="C269" s="325"/>
    </row>
    <row r="270">
      <c r="B270" s="325"/>
      <c r="C270" s="325"/>
    </row>
    <row r="271">
      <c r="B271" s="325"/>
      <c r="C271" s="325"/>
    </row>
    <row r="272">
      <c r="B272" s="325"/>
      <c r="C272" s="325"/>
    </row>
    <row r="273">
      <c r="B273" s="325"/>
      <c r="C273" s="325"/>
    </row>
    <row r="274">
      <c r="B274" s="325"/>
      <c r="C274" s="325"/>
    </row>
    <row r="275">
      <c r="B275" s="325"/>
      <c r="C275" s="325"/>
    </row>
    <row r="276">
      <c r="B276" s="325"/>
      <c r="C276" s="325"/>
    </row>
    <row r="277">
      <c r="B277" s="325"/>
      <c r="C277" s="325"/>
    </row>
    <row r="278">
      <c r="B278" s="325"/>
      <c r="C278" s="325"/>
    </row>
    <row r="279">
      <c r="B279" s="325"/>
      <c r="C279" s="325"/>
    </row>
    <row r="280">
      <c r="B280" s="325"/>
      <c r="C280" s="325"/>
    </row>
    <row r="281">
      <c r="B281" s="325"/>
      <c r="C281" s="325"/>
    </row>
    <row r="282">
      <c r="B282" s="325"/>
      <c r="C282" s="325"/>
    </row>
    <row r="283">
      <c r="B283" s="325"/>
      <c r="C283" s="325"/>
    </row>
    <row r="284">
      <c r="B284" s="325"/>
      <c r="C284" s="325"/>
    </row>
    <row r="285">
      <c r="B285" s="325"/>
      <c r="C285" s="325"/>
    </row>
    <row r="286">
      <c r="B286" s="325"/>
      <c r="C286" s="325"/>
    </row>
    <row r="287">
      <c r="B287" s="325"/>
      <c r="C287" s="325"/>
    </row>
    <row r="288">
      <c r="B288" s="325"/>
      <c r="C288" s="325"/>
    </row>
    <row r="289">
      <c r="B289" s="325"/>
      <c r="C289" s="325"/>
    </row>
    <row r="290">
      <c r="B290" s="325"/>
      <c r="C290" s="325"/>
    </row>
    <row r="291">
      <c r="B291" s="325"/>
      <c r="C291" s="325"/>
    </row>
    <row r="292">
      <c r="B292" s="325"/>
      <c r="C292" s="325"/>
    </row>
    <row r="293">
      <c r="B293" s="325"/>
      <c r="C293" s="325"/>
    </row>
    <row r="294">
      <c r="B294" s="325"/>
      <c r="C294" s="325"/>
    </row>
    <row r="295">
      <c r="B295" s="325"/>
      <c r="C295" s="325"/>
    </row>
    <row r="296">
      <c r="B296" s="325"/>
      <c r="C296" s="325"/>
    </row>
    <row r="297">
      <c r="B297" s="325"/>
      <c r="C297" s="325"/>
    </row>
    <row r="298">
      <c r="B298" s="325"/>
      <c r="C298" s="325"/>
    </row>
    <row r="299">
      <c r="B299" s="325"/>
      <c r="C299" s="325"/>
    </row>
    <row r="300">
      <c r="B300" s="325"/>
      <c r="C300" s="325"/>
    </row>
    <row r="301">
      <c r="B301" s="325"/>
      <c r="C301" s="325"/>
    </row>
    <row r="302">
      <c r="B302" s="325"/>
      <c r="C302" s="325"/>
    </row>
    <row r="303">
      <c r="B303" s="325"/>
      <c r="C303" s="325"/>
    </row>
    <row r="304">
      <c r="B304" s="325"/>
      <c r="C304" s="325"/>
    </row>
    <row r="305">
      <c r="B305" s="325"/>
      <c r="C305" s="325"/>
    </row>
    <row r="306">
      <c r="B306" s="325"/>
      <c r="C306" s="325"/>
    </row>
    <row r="307">
      <c r="B307" s="325"/>
      <c r="C307" s="325"/>
    </row>
    <row r="308">
      <c r="B308" s="325"/>
      <c r="C308" s="325"/>
    </row>
    <row r="309">
      <c r="B309" s="325"/>
      <c r="C309" s="325"/>
    </row>
    <row r="310">
      <c r="B310" s="325"/>
      <c r="C310" s="325"/>
    </row>
    <row r="311">
      <c r="B311" s="325"/>
      <c r="C311" s="325"/>
    </row>
    <row r="312">
      <c r="B312" s="325"/>
      <c r="C312" s="325"/>
    </row>
    <row r="313">
      <c r="B313" s="325"/>
      <c r="C313" s="325"/>
    </row>
    <row r="314">
      <c r="B314" s="325"/>
      <c r="C314" s="325"/>
    </row>
    <row r="315">
      <c r="B315" s="325"/>
      <c r="C315" s="325"/>
    </row>
    <row r="316">
      <c r="B316" s="325"/>
      <c r="C316" s="325"/>
    </row>
    <row r="317">
      <c r="B317" s="325"/>
      <c r="C317" s="325"/>
    </row>
    <row r="318">
      <c r="B318" s="325"/>
      <c r="C318" s="325"/>
    </row>
    <row r="319">
      <c r="B319" s="325"/>
      <c r="C319" s="325"/>
    </row>
    <row r="320">
      <c r="B320" s="325"/>
      <c r="C320" s="325"/>
    </row>
    <row r="321">
      <c r="B321" s="325"/>
      <c r="C321" s="325"/>
    </row>
    <row r="322">
      <c r="B322" s="325"/>
      <c r="C322" s="325"/>
    </row>
    <row r="323">
      <c r="B323" s="325"/>
      <c r="C323" s="325"/>
    </row>
    <row r="324">
      <c r="B324" s="325"/>
      <c r="C324" s="325"/>
    </row>
    <row r="325">
      <c r="B325" s="325"/>
      <c r="C325" s="325"/>
    </row>
    <row r="326">
      <c r="B326" s="325"/>
      <c r="C326" s="325"/>
    </row>
    <row r="327">
      <c r="B327" s="325"/>
      <c r="C327" s="325"/>
    </row>
    <row r="328">
      <c r="B328" s="325"/>
      <c r="C328" s="325"/>
    </row>
    <row r="329">
      <c r="B329" s="325"/>
      <c r="C329" s="325"/>
    </row>
    <row r="330">
      <c r="B330" s="325"/>
      <c r="C330" s="325"/>
    </row>
    <row r="331">
      <c r="B331" s="325"/>
      <c r="C331" s="325"/>
    </row>
    <row r="332">
      <c r="B332" s="325"/>
      <c r="C332" s="325"/>
    </row>
    <row r="333">
      <c r="B333" s="325"/>
      <c r="C333" s="325"/>
    </row>
    <row r="334">
      <c r="B334" s="325"/>
      <c r="C334" s="325"/>
    </row>
    <row r="335">
      <c r="B335" s="325"/>
      <c r="C335" s="325"/>
    </row>
    <row r="336">
      <c r="B336" s="325"/>
      <c r="C336" s="325"/>
    </row>
    <row r="337">
      <c r="B337" s="325"/>
      <c r="C337" s="325"/>
    </row>
    <row r="338">
      <c r="B338" s="325"/>
      <c r="C338" s="325"/>
    </row>
    <row r="339">
      <c r="B339" s="325"/>
      <c r="C339" s="325"/>
    </row>
    <row r="340">
      <c r="B340" s="325"/>
      <c r="C340" s="325"/>
    </row>
    <row r="341">
      <c r="B341" s="325"/>
      <c r="C341" s="325"/>
    </row>
    <row r="342">
      <c r="B342" s="325"/>
      <c r="C342" s="325"/>
    </row>
    <row r="343">
      <c r="B343" s="325"/>
      <c r="C343" s="325"/>
    </row>
    <row r="344">
      <c r="B344" s="325"/>
      <c r="C344" s="325"/>
    </row>
    <row r="345">
      <c r="B345" s="325"/>
      <c r="C345" s="325"/>
    </row>
    <row r="346">
      <c r="B346" s="325"/>
      <c r="C346" s="325"/>
    </row>
    <row r="347">
      <c r="B347" s="325"/>
      <c r="C347" s="325"/>
    </row>
    <row r="348">
      <c r="B348" s="325"/>
      <c r="C348" s="325"/>
    </row>
    <row r="349">
      <c r="B349" s="325"/>
      <c r="C349" s="325"/>
    </row>
    <row r="350">
      <c r="B350" s="325"/>
      <c r="C350" s="325"/>
    </row>
    <row r="351">
      <c r="B351" s="325"/>
      <c r="C351" s="325"/>
    </row>
    <row r="352">
      <c r="B352" s="325"/>
      <c r="C352" s="325"/>
    </row>
    <row r="353">
      <c r="B353" s="325"/>
      <c r="C353" s="325"/>
    </row>
    <row r="354">
      <c r="B354" s="325"/>
      <c r="C354" s="325"/>
    </row>
    <row r="355">
      <c r="B355" s="325"/>
      <c r="C355" s="325"/>
    </row>
    <row r="356">
      <c r="B356" s="325"/>
      <c r="C356" s="325"/>
    </row>
    <row r="357">
      <c r="B357" s="325"/>
      <c r="C357" s="325"/>
    </row>
    <row r="358">
      <c r="B358" s="325"/>
      <c r="C358" s="325"/>
    </row>
    <row r="359">
      <c r="B359" s="325"/>
      <c r="C359" s="325"/>
    </row>
    <row r="360">
      <c r="B360" s="325"/>
      <c r="C360" s="325"/>
    </row>
    <row r="361">
      <c r="B361" s="325"/>
      <c r="C361" s="325"/>
    </row>
    <row r="362">
      <c r="B362" s="325"/>
      <c r="C362" s="325"/>
    </row>
    <row r="363">
      <c r="B363" s="325"/>
      <c r="C363" s="325"/>
    </row>
    <row r="364">
      <c r="B364" s="325"/>
      <c r="C364" s="325"/>
    </row>
    <row r="365">
      <c r="B365" s="325"/>
      <c r="C365" s="325"/>
    </row>
    <row r="366">
      <c r="B366" s="325"/>
      <c r="C366" s="325"/>
    </row>
    <row r="367">
      <c r="B367" s="325"/>
      <c r="C367" s="325"/>
    </row>
    <row r="368">
      <c r="B368" s="325"/>
      <c r="C368" s="325"/>
    </row>
    <row r="369">
      <c r="B369" s="325"/>
      <c r="C369" s="325"/>
    </row>
    <row r="370">
      <c r="B370" s="325"/>
      <c r="C370" s="325"/>
    </row>
    <row r="371">
      <c r="B371" s="325"/>
      <c r="C371" s="325"/>
    </row>
    <row r="372">
      <c r="B372" s="325"/>
      <c r="C372" s="325"/>
    </row>
    <row r="373">
      <c r="B373" s="325"/>
      <c r="C373" s="325"/>
    </row>
    <row r="374">
      <c r="B374" s="325"/>
      <c r="C374" s="325"/>
    </row>
    <row r="375">
      <c r="B375" s="325"/>
      <c r="C375" s="325"/>
    </row>
    <row r="376">
      <c r="B376" s="325"/>
      <c r="C376" s="325"/>
    </row>
    <row r="377">
      <c r="B377" s="325"/>
      <c r="C377" s="325"/>
    </row>
    <row r="378">
      <c r="B378" s="325"/>
      <c r="C378" s="325"/>
    </row>
    <row r="379">
      <c r="B379" s="325"/>
      <c r="C379" s="325"/>
    </row>
    <row r="380">
      <c r="B380" s="325"/>
      <c r="C380" s="325"/>
    </row>
    <row r="381">
      <c r="B381" s="325"/>
      <c r="C381" s="325"/>
    </row>
    <row r="382">
      <c r="B382" s="325"/>
      <c r="C382" s="325"/>
    </row>
    <row r="383">
      <c r="B383" s="325"/>
      <c r="C383" s="325"/>
    </row>
    <row r="384">
      <c r="B384" s="325"/>
      <c r="C384" s="325"/>
    </row>
    <row r="385">
      <c r="B385" s="325"/>
      <c r="C385" s="325"/>
    </row>
    <row r="386">
      <c r="B386" s="325"/>
      <c r="C386" s="325"/>
    </row>
    <row r="387">
      <c r="B387" s="325"/>
      <c r="C387" s="325"/>
    </row>
    <row r="388">
      <c r="B388" s="325"/>
      <c r="C388" s="325"/>
    </row>
    <row r="389">
      <c r="B389" s="325"/>
      <c r="C389" s="325"/>
    </row>
    <row r="390">
      <c r="B390" s="325"/>
      <c r="C390" s="325"/>
    </row>
    <row r="391">
      <c r="B391" s="325"/>
      <c r="C391" s="325"/>
    </row>
    <row r="392">
      <c r="B392" s="325"/>
      <c r="C392" s="325"/>
    </row>
    <row r="393">
      <c r="B393" s="325"/>
      <c r="C393" s="325"/>
    </row>
    <row r="394">
      <c r="B394" s="325"/>
      <c r="C394" s="325"/>
    </row>
    <row r="395">
      <c r="B395" s="325"/>
      <c r="C395" s="325"/>
    </row>
    <row r="396">
      <c r="B396" s="325"/>
      <c r="C396" s="325"/>
    </row>
    <row r="397">
      <c r="B397" s="325"/>
      <c r="C397" s="325"/>
    </row>
    <row r="398">
      <c r="B398" s="325"/>
      <c r="C398" s="325"/>
    </row>
    <row r="399">
      <c r="B399" s="325"/>
      <c r="C399" s="325"/>
    </row>
    <row r="400">
      <c r="B400" s="325"/>
      <c r="C400" s="325"/>
    </row>
    <row r="401">
      <c r="B401" s="325"/>
      <c r="C401" s="325"/>
    </row>
    <row r="402">
      <c r="B402" s="325"/>
      <c r="C402" s="325"/>
    </row>
    <row r="403">
      <c r="B403" s="325"/>
      <c r="C403" s="325"/>
    </row>
    <row r="404">
      <c r="B404" s="325"/>
      <c r="C404" s="325"/>
    </row>
    <row r="405">
      <c r="B405" s="325"/>
      <c r="C405" s="325"/>
    </row>
    <row r="406">
      <c r="B406" s="325"/>
      <c r="C406" s="325"/>
    </row>
    <row r="407">
      <c r="B407" s="325"/>
      <c r="C407" s="325"/>
    </row>
    <row r="408">
      <c r="B408" s="325"/>
      <c r="C408" s="325"/>
    </row>
    <row r="409">
      <c r="B409" s="325"/>
      <c r="C409" s="325"/>
    </row>
    <row r="410">
      <c r="B410" s="325"/>
      <c r="C410" s="325"/>
    </row>
    <row r="411">
      <c r="B411" s="325"/>
      <c r="C411" s="325"/>
    </row>
    <row r="412">
      <c r="B412" s="325"/>
      <c r="C412" s="325"/>
    </row>
    <row r="413">
      <c r="B413" s="325"/>
      <c r="C413" s="325"/>
    </row>
    <row r="414">
      <c r="B414" s="325"/>
      <c r="C414" s="325"/>
    </row>
    <row r="415">
      <c r="B415" s="325"/>
      <c r="C415" s="325"/>
    </row>
    <row r="416">
      <c r="B416" s="325"/>
      <c r="C416" s="325"/>
    </row>
    <row r="417">
      <c r="B417" s="325"/>
      <c r="C417" s="325"/>
    </row>
    <row r="418">
      <c r="B418" s="325"/>
      <c r="C418" s="325"/>
    </row>
    <row r="419">
      <c r="B419" s="325"/>
      <c r="C419" s="325"/>
    </row>
    <row r="420">
      <c r="B420" s="325"/>
      <c r="C420" s="325"/>
    </row>
    <row r="421">
      <c r="B421" s="325"/>
      <c r="C421" s="325"/>
    </row>
    <row r="422">
      <c r="B422" s="325"/>
      <c r="C422" s="325"/>
    </row>
    <row r="423">
      <c r="B423" s="325"/>
      <c r="C423" s="325"/>
    </row>
    <row r="424">
      <c r="B424" s="325"/>
      <c r="C424" s="325"/>
    </row>
    <row r="425">
      <c r="B425" s="325"/>
      <c r="C425" s="325"/>
    </row>
    <row r="426">
      <c r="B426" s="325"/>
      <c r="C426" s="325"/>
    </row>
    <row r="427">
      <c r="B427" s="325"/>
      <c r="C427" s="325"/>
    </row>
    <row r="428">
      <c r="B428" s="325"/>
      <c r="C428" s="325"/>
    </row>
    <row r="429">
      <c r="B429" s="325"/>
      <c r="C429" s="325"/>
    </row>
    <row r="430">
      <c r="B430" s="325"/>
      <c r="C430" s="325"/>
    </row>
    <row r="431">
      <c r="B431" s="325"/>
      <c r="C431" s="325"/>
    </row>
    <row r="432">
      <c r="B432" s="325"/>
      <c r="C432" s="325"/>
    </row>
    <row r="433">
      <c r="B433" s="325"/>
      <c r="C433" s="325"/>
    </row>
    <row r="434">
      <c r="B434" s="325"/>
      <c r="C434" s="325"/>
    </row>
    <row r="435">
      <c r="B435" s="325"/>
      <c r="C435" s="325"/>
    </row>
    <row r="436">
      <c r="B436" s="325"/>
      <c r="C436" s="325"/>
    </row>
    <row r="437">
      <c r="B437" s="325"/>
      <c r="C437" s="325"/>
    </row>
    <row r="438">
      <c r="B438" s="325"/>
      <c r="C438" s="325"/>
    </row>
    <row r="439">
      <c r="B439" s="325"/>
      <c r="C439" s="325"/>
    </row>
    <row r="440">
      <c r="B440" s="325"/>
      <c r="C440" s="325"/>
    </row>
    <row r="441">
      <c r="B441" s="325"/>
      <c r="C441" s="325"/>
    </row>
    <row r="442">
      <c r="B442" s="325"/>
      <c r="C442" s="325"/>
    </row>
    <row r="443">
      <c r="B443" s="325"/>
      <c r="C443" s="325"/>
    </row>
    <row r="444">
      <c r="B444" s="325"/>
      <c r="C444" s="325"/>
    </row>
    <row r="445">
      <c r="B445" s="325"/>
      <c r="C445" s="325"/>
    </row>
    <row r="446">
      <c r="B446" s="325"/>
      <c r="C446" s="325"/>
    </row>
    <row r="447">
      <c r="B447" s="325"/>
      <c r="C447" s="325"/>
    </row>
    <row r="448">
      <c r="B448" s="325"/>
      <c r="C448" s="325"/>
    </row>
    <row r="449">
      <c r="B449" s="325"/>
      <c r="C449" s="325"/>
    </row>
    <row r="450">
      <c r="B450" s="325"/>
      <c r="C450" s="325"/>
    </row>
    <row r="451">
      <c r="B451" s="325"/>
      <c r="C451" s="325"/>
    </row>
    <row r="452">
      <c r="B452" s="325"/>
      <c r="C452" s="325"/>
    </row>
    <row r="453">
      <c r="B453" s="325"/>
      <c r="C453" s="325"/>
    </row>
    <row r="454">
      <c r="B454" s="325"/>
      <c r="C454" s="325"/>
    </row>
    <row r="455">
      <c r="B455" s="325"/>
      <c r="C455" s="325"/>
    </row>
    <row r="456">
      <c r="B456" s="325"/>
      <c r="C456" s="325"/>
    </row>
    <row r="457">
      <c r="B457" s="325"/>
      <c r="C457" s="325"/>
    </row>
    <row r="458">
      <c r="B458" s="325"/>
      <c r="C458" s="325"/>
    </row>
    <row r="459">
      <c r="B459" s="325"/>
      <c r="C459" s="325"/>
    </row>
    <row r="460">
      <c r="B460" s="325"/>
      <c r="C460" s="325"/>
    </row>
    <row r="461">
      <c r="B461" s="325"/>
      <c r="C461" s="325"/>
    </row>
    <row r="462">
      <c r="B462" s="325"/>
      <c r="C462" s="325"/>
    </row>
    <row r="463">
      <c r="B463" s="325"/>
      <c r="C463" s="325"/>
    </row>
    <row r="464">
      <c r="B464" s="325"/>
      <c r="C464" s="325"/>
    </row>
    <row r="465">
      <c r="B465" s="325"/>
      <c r="C465" s="325"/>
    </row>
    <row r="466">
      <c r="B466" s="325"/>
      <c r="C466" s="325"/>
    </row>
    <row r="467">
      <c r="B467" s="325"/>
      <c r="C467" s="325"/>
    </row>
    <row r="468">
      <c r="B468" s="325"/>
      <c r="C468" s="325"/>
    </row>
    <row r="469">
      <c r="B469" s="325"/>
      <c r="C469" s="325"/>
    </row>
    <row r="470">
      <c r="B470" s="325"/>
      <c r="C470" s="325"/>
    </row>
    <row r="471">
      <c r="B471" s="325"/>
      <c r="C471" s="325"/>
    </row>
    <row r="472">
      <c r="B472" s="325"/>
      <c r="C472" s="325"/>
    </row>
    <row r="473">
      <c r="B473" s="325"/>
      <c r="C473" s="325"/>
    </row>
    <row r="474">
      <c r="B474" s="325"/>
      <c r="C474" s="325"/>
    </row>
    <row r="475">
      <c r="B475" s="325"/>
      <c r="C475" s="325"/>
    </row>
    <row r="476">
      <c r="B476" s="325"/>
      <c r="C476" s="325"/>
    </row>
    <row r="477">
      <c r="B477" s="325"/>
      <c r="C477" s="325"/>
    </row>
    <row r="478">
      <c r="B478" s="325"/>
      <c r="C478" s="325"/>
    </row>
    <row r="479">
      <c r="B479" s="325"/>
      <c r="C479" s="325"/>
    </row>
    <row r="480">
      <c r="B480" s="325"/>
      <c r="C480" s="325"/>
    </row>
    <row r="481">
      <c r="B481" s="325"/>
      <c r="C481" s="325"/>
    </row>
    <row r="482">
      <c r="B482" s="325"/>
      <c r="C482" s="325"/>
    </row>
    <row r="483">
      <c r="B483" s="325"/>
      <c r="C483" s="325"/>
    </row>
    <row r="484">
      <c r="B484" s="325"/>
      <c r="C484" s="325"/>
    </row>
    <row r="485">
      <c r="B485" s="325"/>
      <c r="C485" s="325"/>
    </row>
    <row r="486">
      <c r="B486" s="325"/>
      <c r="C486" s="325"/>
    </row>
    <row r="487">
      <c r="B487" s="325"/>
      <c r="C487" s="325"/>
    </row>
    <row r="488">
      <c r="B488" s="325"/>
      <c r="C488" s="325"/>
    </row>
    <row r="489">
      <c r="B489" s="325"/>
      <c r="C489" s="325"/>
    </row>
    <row r="490">
      <c r="B490" s="325"/>
      <c r="C490" s="325"/>
    </row>
    <row r="491">
      <c r="B491" s="325"/>
      <c r="C491" s="325"/>
    </row>
    <row r="492">
      <c r="B492" s="325"/>
      <c r="C492" s="325"/>
    </row>
    <row r="493">
      <c r="B493" s="325"/>
      <c r="C493" s="325"/>
    </row>
    <row r="494">
      <c r="B494" s="325"/>
      <c r="C494" s="325"/>
    </row>
    <row r="495">
      <c r="B495" s="325"/>
      <c r="C495" s="325"/>
    </row>
    <row r="496">
      <c r="B496" s="325"/>
      <c r="C496" s="325"/>
    </row>
    <row r="497">
      <c r="B497" s="325"/>
      <c r="C497" s="325"/>
    </row>
    <row r="498">
      <c r="B498" s="325"/>
      <c r="C498" s="325"/>
    </row>
    <row r="499">
      <c r="B499" s="325"/>
      <c r="C499" s="325"/>
    </row>
    <row r="500">
      <c r="B500" s="325"/>
      <c r="C500" s="325"/>
    </row>
    <row r="501">
      <c r="B501" s="325"/>
      <c r="C501" s="325"/>
    </row>
    <row r="502">
      <c r="B502" s="325"/>
      <c r="C502" s="325"/>
    </row>
    <row r="503">
      <c r="B503" s="325"/>
      <c r="C503" s="325"/>
    </row>
    <row r="504">
      <c r="B504" s="325"/>
      <c r="C504" s="325"/>
    </row>
    <row r="505">
      <c r="B505" s="325"/>
      <c r="C505" s="325"/>
    </row>
    <row r="506">
      <c r="B506" s="325"/>
      <c r="C506" s="325"/>
    </row>
    <row r="507">
      <c r="B507" s="325"/>
      <c r="C507" s="325"/>
    </row>
    <row r="508">
      <c r="B508" s="325"/>
      <c r="C508" s="325"/>
    </row>
    <row r="509">
      <c r="B509" s="325"/>
      <c r="C509" s="325"/>
    </row>
    <row r="510">
      <c r="B510" s="325"/>
      <c r="C510" s="325"/>
    </row>
    <row r="511">
      <c r="B511" s="325"/>
      <c r="C511" s="325"/>
    </row>
    <row r="512">
      <c r="B512" s="325"/>
      <c r="C512" s="325"/>
    </row>
    <row r="513">
      <c r="B513" s="325"/>
      <c r="C513" s="325"/>
    </row>
    <row r="514">
      <c r="B514" s="325"/>
      <c r="C514" s="325"/>
    </row>
    <row r="515">
      <c r="B515" s="325"/>
      <c r="C515" s="325"/>
    </row>
    <row r="516">
      <c r="B516" s="325"/>
      <c r="C516" s="325"/>
    </row>
    <row r="517">
      <c r="B517" s="325"/>
      <c r="C517" s="325"/>
    </row>
    <row r="518">
      <c r="B518" s="325"/>
      <c r="C518" s="325"/>
    </row>
    <row r="519">
      <c r="B519" s="325"/>
      <c r="C519" s="325"/>
    </row>
    <row r="520">
      <c r="B520" s="325"/>
      <c r="C520" s="325"/>
    </row>
    <row r="521">
      <c r="B521" s="325"/>
      <c r="C521" s="325"/>
    </row>
    <row r="522">
      <c r="B522" s="325"/>
      <c r="C522" s="325"/>
    </row>
    <row r="523">
      <c r="B523" s="325"/>
      <c r="C523" s="325"/>
    </row>
    <row r="524">
      <c r="B524" s="325"/>
      <c r="C524" s="325"/>
    </row>
    <row r="525">
      <c r="B525" s="325"/>
      <c r="C525" s="325"/>
    </row>
    <row r="526">
      <c r="B526" s="325"/>
      <c r="C526" s="325"/>
    </row>
    <row r="527">
      <c r="B527" s="325"/>
      <c r="C527" s="325"/>
    </row>
    <row r="528">
      <c r="B528" s="325"/>
      <c r="C528" s="325"/>
    </row>
    <row r="529">
      <c r="B529" s="325"/>
      <c r="C529" s="325"/>
    </row>
    <row r="530">
      <c r="B530" s="325"/>
      <c r="C530" s="325"/>
    </row>
    <row r="531">
      <c r="B531" s="325"/>
      <c r="C531" s="325"/>
    </row>
    <row r="532">
      <c r="B532" s="325"/>
      <c r="C532" s="325"/>
    </row>
    <row r="533">
      <c r="B533" s="325"/>
      <c r="C533" s="325"/>
    </row>
    <row r="534">
      <c r="B534" s="325"/>
      <c r="C534" s="325"/>
    </row>
    <row r="535">
      <c r="B535" s="325"/>
      <c r="C535" s="325"/>
    </row>
    <row r="536">
      <c r="B536" s="325"/>
      <c r="C536" s="325"/>
    </row>
    <row r="537">
      <c r="B537" s="325"/>
      <c r="C537" s="325"/>
    </row>
    <row r="538">
      <c r="B538" s="325"/>
      <c r="C538" s="325"/>
    </row>
    <row r="539">
      <c r="B539" s="325"/>
      <c r="C539" s="325"/>
    </row>
    <row r="540">
      <c r="B540" s="325"/>
      <c r="C540" s="325"/>
    </row>
    <row r="541">
      <c r="B541" s="325"/>
      <c r="C541" s="325"/>
    </row>
    <row r="542">
      <c r="B542" s="325"/>
      <c r="C542" s="325"/>
    </row>
    <row r="543">
      <c r="B543" s="325"/>
      <c r="C543" s="325"/>
    </row>
    <row r="544">
      <c r="B544" s="325"/>
      <c r="C544" s="325"/>
    </row>
    <row r="545">
      <c r="B545" s="325"/>
      <c r="C545" s="325"/>
    </row>
    <row r="546">
      <c r="B546" s="325"/>
      <c r="C546" s="325"/>
    </row>
    <row r="547">
      <c r="B547" s="325"/>
      <c r="C547" s="325"/>
    </row>
    <row r="548">
      <c r="B548" s="325"/>
      <c r="C548" s="325"/>
    </row>
    <row r="549">
      <c r="B549" s="325"/>
      <c r="C549" s="325"/>
    </row>
    <row r="550">
      <c r="B550" s="325"/>
      <c r="C550" s="325"/>
    </row>
    <row r="551">
      <c r="B551" s="325"/>
      <c r="C551" s="325"/>
    </row>
    <row r="552">
      <c r="B552" s="325"/>
      <c r="C552" s="325"/>
    </row>
    <row r="553">
      <c r="B553" s="325"/>
      <c r="C553" s="325"/>
    </row>
    <row r="554">
      <c r="B554" s="325"/>
      <c r="C554" s="325"/>
    </row>
    <row r="555">
      <c r="B555" s="325"/>
      <c r="C555" s="325"/>
    </row>
    <row r="556">
      <c r="B556" s="325"/>
      <c r="C556" s="325"/>
    </row>
    <row r="557">
      <c r="B557" s="325"/>
      <c r="C557" s="325"/>
    </row>
    <row r="558">
      <c r="B558" s="325"/>
      <c r="C558" s="325"/>
    </row>
    <row r="559">
      <c r="B559" s="325"/>
      <c r="C559" s="325"/>
    </row>
    <row r="560">
      <c r="B560" s="325"/>
      <c r="C560" s="325"/>
    </row>
    <row r="561">
      <c r="B561" s="325"/>
      <c r="C561" s="325"/>
    </row>
    <row r="562">
      <c r="B562" s="325"/>
      <c r="C562" s="325"/>
    </row>
    <row r="563">
      <c r="B563" s="325"/>
      <c r="C563" s="325"/>
    </row>
    <row r="564">
      <c r="B564" s="325"/>
      <c r="C564" s="325"/>
    </row>
    <row r="565">
      <c r="B565" s="325"/>
      <c r="C565" s="325"/>
    </row>
    <row r="566">
      <c r="B566" s="325"/>
      <c r="C566" s="325"/>
    </row>
    <row r="567">
      <c r="B567" s="325"/>
      <c r="C567" s="325"/>
    </row>
    <row r="568">
      <c r="B568" s="325"/>
      <c r="C568" s="325"/>
    </row>
    <row r="569">
      <c r="B569" s="325"/>
      <c r="C569" s="325"/>
    </row>
    <row r="570">
      <c r="B570" s="325"/>
      <c r="C570" s="325"/>
    </row>
    <row r="571">
      <c r="B571" s="325"/>
      <c r="C571" s="325"/>
    </row>
    <row r="572">
      <c r="B572" s="325"/>
      <c r="C572" s="325"/>
    </row>
    <row r="573">
      <c r="B573" s="325"/>
      <c r="C573" s="325"/>
    </row>
    <row r="574">
      <c r="B574" s="325"/>
      <c r="C574" s="325"/>
    </row>
    <row r="575">
      <c r="B575" s="325"/>
      <c r="C575" s="325"/>
    </row>
    <row r="576">
      <c r="B576" s="325"/>
      <c r="C576" s="325"/>
    </row>
    <row r="577">
      <c r="B577" s="325"/>
      <c r="C577" s="325"/>
    </row>
    <row r="578">
      <c r="B578" s="325"/>
      <c r="C578" s="325"/>
    </row>
    <row r="579">
      <c r="B579" s="325"/>
      <c r="C579" s="325"/>
    </row>
    <row r="580">
      <c r="B580" s="325"/>
      <c r="C580" s="325"/>
    </row>
    <row r="581">
      <c r="B581" s="325"/>
      <c r="C581" s="325"/>
    </row>
    <row r="582">
      <c r="B582" s="325"/>
      <c r="C582" s="325"/>
    </row>
    <row r="583">
      <c r="B583" s="325"/>
      <c r="C583" s="325"/>
    </row>
    <row r="584">
      <c r="B584" s="325"/>
      <c r="C584" s="325"/>
    </row>
    <row r="585">
      <c r="B585" s="325"/>
      <c r="C585" s="325"/>
    </row>
    <row r="586">
      <c r="B586" s="325"/>
      <c r="C586" s="325"/>
    </row>
    <row r="587">
      <c r="B587" s="325"/>
      <c r="C587" s="325"/>
    </row>
    <row r="588">
      <c r="B588" s="325"/>
      <c r="C588" s="325"/>
    </row>
    <row r="589">
      <c r="B589" s="325"/>
      <c r="C589" s="325"/>
    </row>
    <row r="590">
      <c r="B590" s="325"/>
      <c r="C590" s="325"/>
    </row>
    <row r="591">
      <c r="B591" s="325"/>
      <c r="C591" s="325"/>
    </row>
    <row r="592">
      <c r="B592" s="325"/>
      <c r="C592" s="325"/>
    </row>
    <row r="593">
      <c r="B593" s="325"/>
      <c r="C593" s="325"/>
    </row>
    <row r="594">
      <c r="B594" s="325"/>
      <c r="C594" s="325"/>
    </row>
    <row r="595">
      <c r="B595" s="325"/>
      <c r="C595" s="325"/>
    </row>
    <row r="596">
      <c r="B596" s="325"/>
      <c r="C596" s="325"/>
    </row>
    <row r="597">
      <c r="B597" s="325"/>
      <c r="C597" s="325"/>
    </row>
    <row r="598">
      <c r="B598" s="325"/>
      <c r="C598" s="325"/>
    </row>
    <row r="599">
      <c r="B599" s="325"/>
      <c r="C599" s="325"/>
    </row>
    <row r="600">
      <c r="B600" s="325"/>
      <c r="C600" s="325"/>
    </row>
    <row r="601">
      <c r="B601" s="325"/>
      <c r="C601" s="325"/>
    </row>
    <row r="602">
      <c r="B602" s="325"/>
      <c r="C602" s="325"/>
    </row>
    <row r="603">
      <c r="B603" s="325"/>
      <c r="C603" s="325"/>
    </row>
    <row r="604">
      <c r="B604" s="325"/>
      <c r="C604" s="325"/>
    </row>
    <row r="605">
      <c r="B605" s="325"/>
      <c r="C605" s="325"/>
    </row>
    <row r="606">
      <c r="B606" s="325"/>
      <c r="C606" s="325"/>
    </row>
    <row r="607">
      <c r="B607" s="325"/>
      <c r="C607" s="325"/>
    </row>
    <row r="608">
      <c r="B608" s="325"/>
      <c r="C608" s="325"/>
    </row>
    <row r="609">
      <c r="B609" s="325"/>
      <c r="C609" s="325"/>
    </row>
    <row r="610">
      <c r="B610" s="325"/>
      <c r="C610" s="325"/>
    </row>
    <row r="611">
      <c r="B611" s="325"/>
      <c r="C611" s="325"/>
    </row>
    <row r="612">
      <c r="B612" s="325"/>
      <c r="C612" s="325"/>
    </row>
    <row r="613">
      <c r="B613" s="325"/>
      <c r="C613" s="325"/>
    </row>
    <row r="614">
      <c r="B614" s="325"/>
      <c r="C614" s="325"/>
    </row>
    <row r="615">
      <c r="B615" s="325"/>
      <c r="C615" s="325"/>
    </row>
    <row r="616">
      <c r="B616" s="325"/>
      <c r="C616" s="325"/>
    </row>
    <row r="617">
      <c r="B617" s="325"/>
      <c r="C617" s="325"/>
    </row>
    <row r="618">
      <c r="B618" s="325"/>
      <c r="C618" s="325"/>
    </row>
    <row r="619">
      <c r="B619" s="325"/>
      <c r="C619" s="325"/>
    </row>
    <row r="620">
      <c r="B620" s="325"/>
      <c r="C620" s="325"/>
    </row>
    <row r="621">
      <c r="B621" s="325"/>
      <c r="C621" s="325"/>
    </row>
    <row r="622">
      <c r="B622" s="325"/>
      <c r="C622" s="325"/>
    </row>
    <row r="623">
      <c r="B623" s="325"/>
      <c r="C623" s="325"/>
    </row>
    <row r="624">
      <c r="B624" s="325"/>
      <c r="C624" s="325"/>
    </row>
    <row r="625">
      <c r="B625" s="325"/>
      <c r="C625" s="325"/>
    </row>
    <row r="626">
      <c r="B626" s="325"/>
      <c r="C626" s="325"/>
    </row>
    <row r="627">
      <c r="B627" s="325"/>
      <c r="C627" s="325"/>
    </row>
    <row r="628">
      <c r="B628" s="325"/>
      <c r="C628" s="325"/>
    </row>
    <row r="629">
      <c r="B629" s="325"/>
      <c r="C629" s="325"/>
    </row>
    <row r="630">
      <c r="B630" s="325"/>
      <c r="C630" s="325"/>
    </row>
    <row r="631">
      <c r="B631" s="325"/>
      <c r="C631" s="325"/>
    </row>
    <row r="632">
      <c r="B632" s="325"/>
      <c r="C632" s="325"/>
    </row>
    <row r="633">
      <c r="B633" s="325"/>
      <c r="C633" s="325"/>
    </row>
    <row r="634">
      <c r="B634" s="325"/>
      <c r="C634" s="325"/>
    </row>
    <row r="635">
      <c r="B635" s="325"/>
      <c r="C635" s="325"/>
    </row>
    <row r="636">
      <c r="B636" s="325"/>
      <c r="C636" s="325"/>
    </row>
    <row r="637">
      <c r="B637" s="325"/>
      <c r="C637" s="325"/>
    </row>
    <row r="638">
      <c r="B638" s="325"/>
      <c r="C638" s="325"/>
    </row>
    <row r="639">
      <c r="B639" s="325"/>
      <c r="C639" s="325"/>
    </row>
    <row r="640">
      <c r="B640" s="325"/>
      <c r="C640" s="325"/>
    </row>
    <row r="641">
      <c r="B641" s="325"/>
      <c r="C641" s="325"/>
    </row>
    <row r="642">
      <c r="B642" s="325"/>
      <c r="C642" s="325"/>
    </row>
    <row r="643">
      <c r="B643" s="325"/>
      <c r="C643" s="325"/>
    </row>
    <row r="644">
      <c r="B644" s="325"/>
      <c r="C644" s="325"/>
    </row>
    <row r="645">
      <c r="B645" s="325"/>
      <c r="C645" s="325"/>
    </row>
    <row r="646">
      <c r="B646" s="325"/>
      <c r="C646" s="325"/>
    </row>
    <row r="647">
      <c r="B647" s="325"/>
      <c r="C647" s="325"/>
    </row>
    <row r="648">
      <c r="B648" s="325"/>
      <c r="C648" s="325"/>
    </row>
    <row r="649">
      <c r="B649" s="325"/>
      <c r="C649" s="325"/>
    </row>
    <row r="650">
      <c r="B650" s="325"/>
      <c r="C650" s="325"/>
    </row>
    <row r="651">
      <c r="B651" s="325"/>
      <c r="C651" s="325"/>
    </row>
    <row r="652">
      <c r="B652" s="325"/>
      <c r="C652" s="325"/>
    </row>
    <row r="653">
      <c r="B653" s="325"/>
      <c r="C653" s="325"/>
    </row>
    <row r="654">
      <c r="B654" s="325"/>
      <c r="C654" s="325"/>
    </row>
    <row r="655">
      <c r="B655" s="325"/>
      <c r="C655" s="325"/>
    </row>
    <row r="656">
      <c r="B656" s="325"/>
      <c r="C656" s="325"/>
    </row>
    <row r="657">
      <c r="B657" s="325"/>
      <c r="C657" s="325"/>
    </row>
    <row r="658">
      <c r="B658" s="325"/>
      <c r="C658" s="325"/>
    </row>
    <row r="659">
      <c r="B659" s="325"/>
      <c r="C659" s="325"/>
    </row>
    <row r="660">
      <c r="B660" s="325"/>
      <c r="C660" s="325"/>
    </row>
    <row r="661">
      <c r="B661" s="325"/>
      <c r="C661" s="325"/>
    </row>
    <row r="662">
      <c r="B662" s="325"/>
      <c r="C662" s="325"/>
    </row>
    <row r="663">
      <c r="B663" s="325"/>
      <c r="C663" s="325"/>
    </row>
    <row r="664">
      <c r="B664" s="325"/>
      <c r="C664" s="325"/>
    </row>
    <row r="665">
      <c r="B665" s="325"/>
      <c r="C665" s="325"/>
    </row>
    <row r="666">
      <c r="B666" s="325"/>
      <c r="C666" s="325"/>
    </row>
    <row r="667">
      <c r="B667" s="325"/>
      <c r="C667" s="325"/>
    </row>
    <row r="668">
      <c r="B668" s="325"/>
      <c r="C668" s="325"/>
    </row>
    <row r="669">
      <c r="B669" s="325"/>
      <c r="C669" s="325"/>
    </row>
    <row r="670">
      <c r="B670" s="325"/>
      <c r="C670" s="325"/>
    </row>
    <row r="671">
      <c r="B671" s="325"/>
      <c r="C671" s="325"/>
    </row>
    <row r="672">
      <c r="B672" s="325"/>
      <c r="C672" s="325"/>
    </row>
    <row r="673">
      <c r="B673" s="325"/>
      <c r="C673" s="325"/>
    </row>
    <row r="674">
      <c r="B674" s="325"/>
      <c r="C674" s="325"/>
    </row>
    <row r="675">
      <c r="B675" s="325"/>
      <c r="C675" s="325"/>
    </row>
    <row r="676">
      <c r="B676" s="325"/>
      <c r="C676" s="325"/>
    </row>
    <row r="677">
      <c r="B677" s="325"/>
      <c r="C677" s="325"/>
    </row>
    <row r="678">
      <c r="B678" s="325"/>
      <c r="C678" s="325"/>
    </row>
    <row r="679">
      <c r="B679" s="325"/>
      <c r="C679" s="325"/>
    </row>
    <row r="680">
      <c r="B680" s="325"/>
      <c r="C680" s="325"/>
    </row>
    <row r="681">
      <c r="B681" s="325"/>
      <c r="C681" s="325"/>
    </row>
    <row r="682">
      <c r="B682" s="325"/>
      <c r="C682" s="325"/>
    </row>
    <row r="683">
      <c r="B683" s="325"/>
      <c r="C683" s="325"/>
    </row>
    <row r="684">
      <c r="B684" s="325"/>
      <c r="C684" s="325"/>
    </row>
    <row r="685">
      <c r="B685" s="325"/>
      <c r="C685" s="325"/>
    </row>
    <row r="686">
      <c r="B686" s="325"/>
      <c r="C686" s="325"/>
    </row>
    <row r="687">
      <c r="B687" s="325"/>
      <c r="C687" s="325"/>
    </row>
    <row r="688">
      <c r="B688" s="325"/>
      <c r="C688" s="325"/>
    </row>
    <row r="689">
      <c r="B689" s="325"/>
      <c r="C689" s="325"/>
    </row>
    <row r="690">
      <c r="B690" s="325"/>
      <c r="C690" s="325"/>
    </row>
    <row r="691">
      <c r="B691" s="325"/>
      <c r="C691" s="325"/>
    </row>
    <row r="692">
      <c r="B692" s="325"/>
      <c r="C692" s="325"/>
    </row>
    <row r="693">
      <c r="B693" s="325"/>
      <c r="C693" s="325"/>
    </row>
    <row r="694">
      <c r="B694" s="325"/>
      <c r="C694" s="325"/>
    </row>
    <row r="695">
      <c r="B695" s="325"/>
      <c r="C695" s="325"/>
    </row>
    <row r="696">
      <c r="B696" s="325"/>
      <c r="C696" s="325"/>
    </row>
    <row r="697">
      <c r="B697" s="325"/>
      <c r="C697" s="325"/>
    </row>
    <row r="698">
      <c r="B698" s="325"/>
      <c r="C698" s="325"/>
    </row>
    <row r="699">
      <c r="B699" s="325"/>
      <c r="C699" s="325"/>
    </row>
    <row r="700">
      <c r="B700" s="325"/>
      <c r="C700" s="325"/>
    </row>
    <row r="701">
      <c r="B701" s="325"/>
      <c r="C701" s="325"/>
    </row>
    <row r="702">
      <c r="B702" s="325"/>
      <c r="C702" s="325"/>
    </row>
    <row r="703">
      <c r="B703" s="325"/>
      <c r="C703" s="325"/>
    </row>
    <row r="704">
      <c r="B704" s="325"/>
      <c r="C704" s="325"/>
    </row>
    <row r="705">
      <c r="B705" s="325"/>
      <c r="C705" s="325"/>
    </row>
    <row r="706">
      <c r="B706" s="325"/>
      <c r="C706" s="325"/>
    </row>
    <row r="707">
      <c r="B707" s="325"/>
      <c r="C707" s="325"/>
    </row>
    <row r="708">
      <c r="B708" s="325"/>
      <c r="C708" s="325"/>
    </row>
    <row r="709">
      <c r="B709" s="325"/>
      <c r="C709" s="325"/>
    </row>
    <row r="710">
      <c r="B710" s="325"/>
      <c r="C710" s="325"/>
    </row>
    <row r="711">
      <c r="B711" s="325"/>
      <c r="C711" s="325"/>
    </row>
    <row r="712">
      <c r="B712" s="325"/>
      <c r="C712" s="325"/>
    </row>
    <row r="713">
      <c r="B713" s="325"/>
      <c r="C713" s="325"/>
    </row>
    <row r="714">
      <c r="B714" s="325"/>
      <c r="C714" s="325"/>
    </row>
    <row r="715">
      <c r="B715" s="325"/>
      <c r="C715" s="325"/>
    </row>
    <row r="716">
      <c r="B716" s="325"/>
      <c r="C716" s="325"/>
    </row>
    <row r="717">
      <c r="B717" s="325"/>
      <c r="C717" s="325"/>
    </row>
    <row r="718">
      <c r="B718" s="325"/>
      <c r="C718" s="325"/>
    </row>
    <row r="719">
      <c r="B719" s="325"/>
      <c r="C719" s="325"/>
    </row>
    <row r="720">
      <c r="B720" s="325"/>
      <c r="C720" s="325"/>
    </row>
    <row r="721">
      <c r="B721" s="325"/>
      <c r="C721" s="325"/>
    </row>
    <row r="722">
      <c r="B722" s="325"/>
      <c r="C722" s="325"/>
    </row>
    <row r="723">
      <c r="B723" s="325"/>
      <c r="C723" s="325"/>
    </row>
    <row r="724">
      <c r="B724" s="325"/>
      <c r="C724" s="325"/>
    </row>
    <row r="725">
      <c r="B725" s="325"/>
      <c r="C725" s="325"/>
    </row>
    <row r="726">
      <c r="B726" s="325"/>
      <c r="C726" s="325"/>
    </row>
    <row r="727">
      <c r="B727" s="325"/>
      <c r="C727" s="325"/>
    </row>
    <row r="728">
      <c r="B728" s="325"/>
      <c r="C728" s="325"/>
    </row>
    <row r="729">
      <c r="B729" s="325"/>
      <c r="C729" s="325"/>
    </row>
    <row r="730">
      <c r="B730" s="325"/>
      <c r="C730" s="325"/>
    </row>
    <row r="731">
      <c r="B731" s="325"/>
      <c r="C731" s="325"/>
    </row>
    <row r="732">
      <c r="B732" s="325"/>
      <c r="C732" s="325"/>
    </row>
    <row r="733">
      <c r="B733" s="325"/>
      <c r="C733" s="325"/>
    </row>
    <row r="734">
      <c r="B734" s="325"/>
      <c r="C734" s="325"/>
    </row>
    <row r="735">
      <c r="B735" s="325"/>
      <c r="C735" s="325"/>
    </row>
    <row r="736">
      <c r="B736" s="325"/>
      <c r="C736" s="325"/>
    </row>
    <row r="737">
      <c r="B737" s="325"/>
      <c r="C737" s="325"/>
    </row>
    <row r="738">
      <c r="B738" s="325"/>
      <c r="C738" s="325"/>
    </row>
    <row r="739">
      <c r="B739" s="325"/>
      <c r="C739" s="325"/>
    </row>
    <row r="740">
      <c r="B740" s="325"/>
      <c r="C740" s="325"/>
    </row>
    <row r="741">
      <c r="B741" s="325"/>
      <c r="C741" s="325"/>
    </row>
    <row r="742">
      <c r="B742" s="325"/>
      <c r="C742" s="325"/>
    </row>
    <row r="743">
      <c r="B743" s="325"/>
      <c r="C743" s="325"/>
    </row>
    <row r="744">
      <c r="B744" s="325"/>
      <c r="C744" s="325"/>
    </row>
    <row r="745">
      <c r="B745" s="325"/>
      <c r="C745" s="325"/>
    </row>
    <row r="746">
      <c r="B746" s="325"/>
      <c r="C746" s="325"/>
    </row>
    <row r="747">
      <c r="B747" s="325"/>
      <c r="C747" s="325"/>
    </row>
    <row r="748">
      <c r="B748" s="325"/>
      <c r="C748" s="325"/>
    </row>
    <row r="749">
      <c r="B749" s="325"/>
      <c r="C749" s="325"/>
    </row>
    <row r="750">
      <c r="B750" s="325"/>
      <c r="C750" s="325"/>
    </row>
    <row r="751">
      <c r="B751" s="325"/>
      <c r="C751" s="325"/>
    </row>
    <row r="752">
      <c r="B752" s="325"/>
      <c r="C752" s="325"/>
    </row>
    <row r="753">
      <c r="B753" s="325"/>
      <c r="C753" s="325"/>
    </row>
    <row r="754">
      <c r="B754" s="325"/>
      <c r="C754" s="325"/>
    </row>
    <row r="755">
      <c r="B755" s="325"/>
      <c r="C755" s="325"/>
    </row>
    <row r="756">
      <c r="B756" s="325"/>
      <c r="C756" s="325"/>
    </row>
    <row r="757">
      <c r="B757" s="325"/>
      <c r="C757" s="325"/>
    </row>
    <row r="758">
      <c r="B758" s="325"/>
      <c r="C758" s="325"/>
    </row>
    <row r="759">
      <c r="B759" s="325"/>
      <c r="C759" s="325"/>
    </row>
    <row r="760">
      <c r="B760" s="325"/>
      <c r="C760" s="325"/>
    </row>
    <row r="761">
      <c r="B761" s="325"/>
      <c r="C761" s="325"/>
    </row>
    <row r="762">
      <c r="B762" s="325"/>
      <c r="C762" s="325"/>
    </row>
    <row r="763">
      <c r="B763" s="325"/>
      <c r="C763" s="325"/>
    </row>
    <row r="764">
      <c r="B764" s="325"/>
      <c r="C764" s="325"/>
    </row>
    <row r="765">
      <c r="B765" s="325"/>
      <c r="C765" s="325"/>
    </row>
    <row r="766">
      <c r="B766" s="325"/>
      <c r="C766" s="325"/>
    </row>
    <row r="767">
      <c r="B767" s="325"/>
      <c r="C767" s="325"/>
    </row>
    <row r="768">
      <c r="B768" s="325"/>
      <c r="C768" s="325"/>
    </row>
    <row r="769">
      <c r="B769" s="325"/>
      <c r="C769" s="325"/>
    </row>
    <row r="770">
      <c r="B770" s="325"/>
      <c r="C770" s="325"/>
    </row>
    <row r="771">
      <c r="B771" s="325"/>
      <c r="C771" s="325"/>
    </row>
    <row r="772">
      <c r="B772" s="325"/>
      <c r="C772" s="325"/>
    </row>
    <row r="773">
      <c r="B773" s="325"/>
      <c r="C773" s="325"/>
    </row>
    <row r="774">
      <c r="B774" s="325"/>
      <c r="C774" s="325"/>
    </row>
    <row r="775">
      <c r="B775" s="325"/>
      <c r="C775" s="325"/>
    </row>
    <row r="776">
      <c r="B776" s="325"/>
      <c r="C776" s="325"/>
    </row>
    <row r="777">
      <c r="B777" s="325"/>
      <c r="C777" s="325"/>
    </row>
    <row r="778">
      <c r="B778" s="325"/>
      <c r="C778" s="325"/>
    </row>
    <row r="779">
      <c r="B779" s="325"/>
      <c r="C779" s="325"/>
    </row>
    <row r="780">
      <c r="B780" s="325"/>
      <c r="C780" s="325"/>
    </row>
    <row r="781">
      <c r="B781" s="325"/>
      <c r="C781" s="325"/>
    </row>
    <row r="782">
      <c r="B782" s="325"/>
      <c r="C782" s="325"/>
    </row>
    <row r="783">
      <c r="B783" s="325"/>
      <c r="C783" s="325"/>
    </row>
    <row r="784">
      <c r="B784" s="325"/>
      <c r="C784" s="325"/>
    </row>
    <row r="785">
      <c r="B785" s="325"/>
      <c r="C785" s="325"/>
    </row>
    <row r="786">
      <c r="B786" s="325"/>
      <c r="C786" s="325"/>
    </row>
    <row r="787">
      <c r="B787" s="325"/>
      <c r="C787" s="325"/>
    </row>
    <row r="788">
      <c r="B788" s="325"/>
      <c r="C788" s="325"/>
    </row>
    <row r="789">
      <c r="B789" s="325"/>
      <c r="C789" s="325"/>
    </row>
    <row r="790">
      <c r="B790" s="325"/>
      <c r="C790" s="325"/>
    </row>
    <row r="791">
      <c r="B791" s="325"/>
      <c r="C791" s="325"/>
    </row>
    <row r="792">
      <c r="B792" s="325"/>
      <c r="C792" s="325"/>
    </row>
    <row r="793">
      <c r="B793" s="325"/>
      <c r="C793" s="325"/>
    </row>
    <row r="794">
      <c r="B794" s="325"/>
      <c r="C794" s="325"/>
    </row>
    <row r="795">
      <c r="B795" s="325"/>
      <c r="C795" s="325"/>
    </row>
    <row r="796">
      <c r="B796" s="325"/>
      <c r="C796" s="325"/>
    </row>
    <row r="797">
      <c r="B797" s="325"/>
      <c r="C797" s="325"/>
    </row>
    <row r="798">
      <c r="B798" s="325"/>
      <c r="C798" s="325"/>
    </row>
    <row r="799">
      <c r="B799" s="325"/>
      <c r="C799" s="325"/>
    </row>
    <row r="800">
      <c r="B800" s="325"/>
      <c r="C800" s="325"/>
    </row>
    <row r="801">
      <c r="B801" s="325"/>
      <c r="C801" s="325"/>
    </row>
    <row r="802">
      <c r="B802" s="325"/>
      <c r="C802" s="325"/>
    </row>
    <row r="803">
      <c r="B803" s="325"/>
      <c r="C803" s="325"/>
    </row>
    <row r="804">
      <c r="B804" s="325"/>
      <c r="C804" s="325"/>
    </row>
    <row r="805">
      <c r="B805" s="325"/>
      <c r="C805" s="325"/>
    </row>
    <row r="806">
      <c r="B806" s="325"/>
      <c r="C806" s="325"/>
    </row>
    <row r="807">
      <c r="B807" s="325"/>
      <c r="C807" s="325"/>
    </row>
    <row r="808">
      <c r="B808" s="325"/>
      <c r="C808" s="325"/>
    </row>
    <row r="809">
      <c r="B809" s="325"/>
      <c r="C809" s="325"/>
    </row>
    <row r="810">
      <c r="B810" s="325"/>
      <c r="C810" s="325"/>
    </row>
    <row r="811">
      <c r="B811" s="325"/>
      <c r="C811" s="325"/>
    </row>
    <row r="812">
      <c r="B812" s="325"/>
      <c r="C812" s="325"/>
    </row>
    <row r="813">
      <c r="B813" s="325"/>
      <c r="C813" s="325"/>
    </row>
    <row r="814">
      <c r="B814" s="325"/>
      <c r="C814" s="325"/>
    </row>
    <row r="815">
      <c r="B815" s="325"/>
      <c r="C815" s="325"/>
    </row>
    <row r="816">
      <c r="B816" s="325"/>
      <c r="C816" s="325"/>
    </row>
    <row r="817">
      <c r="B817" s="325"/>
      <c r="C817" s="325"/>
    </row>
    <row r="818">
      <c r="B818" s="325"/>
      <c r="C818" s="325"/>
    </row>
    <row r="819">
      <c r="B819" s="325"/>
      <c r="C819" s="325"/>
    </row>
    <row r="820">
      <c r="B820" s="325"/>
      <c r="C820" s="325"/>
    </row>
    <row r="821">
      <c r="B821" s="325"/>
      <c r="C821" s="325"/>
    </row>
    <row r="822">
      <c r="B822" s="325"/>
      <c r="C822" s="325"/>
    </row>
    <row r="823">
      <c r="B823" s="325"/>
      <c r="C823" s="325"/>
    </row>
    <row r="824">
      <c r="B824" s="325"/>
      <c r="C824" s="325"/>
    </row>
    <row r="825">
      <c r="B825" s="325"/>
      <c r="C825" s="325"/>
    </row>
    <row r="826">
      <c r="B826" s="325"/>
      <c r="C826" s="325"/>
    </row>
    <row r="827">
      <c r="B827" s="325"/>
      <c r="C827" s="325"/>
    </row>
    <row r="828">
      <c r="B828" s="325"/>
      <c r="C828" s="325"/>
    </row>
    <row r="829">
      <c r="B829" s="325"/>
      <c r="C829" s="325"/>
    </row>
    <row r="830">
      <c r="B830" s="325"/>
      <c r="C830" s="325"/>
    </row>
    <row r="831">
      <c r="B831" s="325"/>
      <c r="C831" s="325"/>
    </row>
    <row r="832">
      <c r="B832" s="325"/>
      <c r="C832" s="325"/>
    </row>
    <row r="833">
      <c r="B833" s="325"/>
      <c r="C833" s="325"/>
    </row>
    <row r="834">
      <c r="B834" s="325"/>
      <c r="C834" s="325"/>
    </row>
    <row r="835">
      <c r="B835" s="325"/>
      <c r="C835" s="325"/>
    </row>
    <row r="836">
      <c r="B836" s="325"/>
      <c r="C836" s="325"/>
    </row>
    <row r="837">
      <c r="B837" s="325"/>
      <c r="C837" s="325"/>
    </row>
    <row r="838">
      <c r="B838" s="325"/>
      <c r="C838" s="325"/>
    </row>
    <row r="839">
      <c r="B839" s="325"/>
      <c r="C839" s="325"/>
    </row>
    <row r="840">
      <c r="B840" s="325"/>
      <c r="C840" s="325"/>
    </row>
    <row r="841">
      <c r="B841" s="325"/>
      <c r="C841" s="325"/>
    </row>
    <row r="842">
      <c r="B842" s="325"/>
      <c r="C842" s="325"/>
    </row>
    <row r="843">
      <c r="B843" s="325"/>
      <c r="C843" s="325"/>
    </row>
    <row r="844">
      <c r="B844" s="325"/>
      <c r="C844" s="325"/>
    </row>
    <row r="845">
      <c r="B845" s="325"/>
      <c r="C845" s="325"/>
    </row>
    <row r="846">
      <c r="B846" s="325"/>
      <c r="C846" s="325"/>
    </row>
    <row r="847">
      <c r="B847" s="325"/>
      <c r="C847" s="325"/>
    </row>
    <row r="848">
      <c r="B848" s="325"/>
      <c r="C848" s="325"/>
    </row>
    <row r="849">
      <c r="B849" s="325"/>
      <c r="C849" s="325"/>
    </row>
    <row r="850">
      <c r="B850" s="325"/>
      <c r="C850" s="325"/>
    </row>
    <row r="851">
      <c r="B851" s="325"/>
      <c r="C851" s="325"/>
    </row>
    <row r="852">
      <c r="B852" s="325"/>
      <c r="C852" s="325"/>
    </row>
    <row r="853">
      <c r="B853" s="325"/>
      <c r="C853" s="325"/>
    </row>
    <row r="854">
      <c r="B854" s="325"/>
      <c r="C854" s="325"/>
    </row>
    <row r="855">
      <c r="B855" s="325"/>
      <c r="C855" s="325"/>
    </row>
    <row r="856">
      <c r="B856" s="325"/>
      <c r="C856" s="325"/>
    </row>
    <row r="857">
      <c r="B857" s="325"/>
      <c r="C857" s="325"/>
    </row>
    <row r="858">
      <c r="B858" s="325"/>
      <c r="C858" s="325"/>
    </row>
    <row r="859">
      <c r="B859" s="325"/>
      <c r="C859" s="325"/>
    </row>
    <row r="860">
      <c r="B860" s="325"/>
      <c r="C860" s="325"/>
    </row>
    <row r="861">
      <c r="B861" s="325"/>
      <c r="C861" s="325"/>
    </row>
    <row r="862">
      <c r="B862" s="325"/>
      <c r="C862" s="325"/>
    </row>
    <row r="863">
      <c r="B863" s="325"/>
      <c r="C863" s="325"/>
    </row>
    <row r="864">
      <c r="B864" s="325"/>
      <c r="C864" s="325"/>
    </row>
    <row r="865">
      <c r="B865" s="325"/>
      <c r="C865" s="325"/>
    </row>
    <row r="866">
      <c r="B866" s="325"/>
      <c r="C866" s="325"/>
    </row>
    <row r="867">
      <c r="B867" s="325"/>
      <c r="C867" s="325"/>
    </row>
    <row r="868">
      <c r="B868" s="325"/>
      <c r="C868" s="325"/>
    </row>
    <row r="869">
      <c r="B869" s="325"/>
      <c r="C869" s="325"/>
    </row>
    <row r="870">
      <c r="B870" s="325"/>
      <c r="C870" s="325"/>
    </row>
    <row r="871">
      <c r="B871" s="325"/>
      <c r="C871" s="325"/>
    </row>
    <row r="872">
      <c r="B872" s="325"/>
      <c r="C872" s="325"/>
    </row>
    <row r="873">
      <c r="B873" s="325"/>
      <c r="C873" s="325"/>
    </row>
    <row r="874">
      <c r="B874" s="325"/>
      <c r="C874" s="325"/>
    </row>
    <row r="875">
      <c r="B875" s="325"/>
      <c r="C875" s="325"/>
    </row>
    <row r="876">
      <c r="B876" s="325"/>
      <c r="C876" s="325"/>
    </row>
    <row r="877">
      <c r="B877" s="325"/>
      <c r="C877" s="325"/>
    </row>
    <row r="878">
      <c r="B878" s="325"/>
      <c r="C878" s="325"/>
    </row>
    <row r="879">
      <c r="B879" s="325"/>
      <c r="C879" s="325"/>
    </row>
    <row r="880">
      <c r="B880" s="325"/>
      <c r="C880" s="325"/>
    </row>
    <row r="881">
      <c r="B881" s="325"/>
      <c r="C881" s="325"/>
    </row>
    <row r="882">
      <c r="B882" s="325"/>
      <c r="C882" s="325"/>
    </row>
    <row r="883">
      <c r="B883" s="325"/>
      <c r="C883" s="325"/>
    </row>
    <row r="884">
      <c r="B884" s="325"/>
      <c r="C884" s="325"/>
    </row>
    <row r="885">
      <c r="B885" s="325"/>
      <c r="C885" s="325"/>
    </row>
    <row r="886">
      <c r="B886" s="325"/>
      <c r="C886" s="325"/>
    </row>
    <row r="887">
      <c r="B887" s="325"/>
      <c r="C887" s="325"/>
    </row>
    <row r="888">
      <c r="B888" s="325"/>
      <c r="C888" s="325"/>
    </row>
    <row r="889">
      <c r="B889" s="325"/>
      <c r="C889" s="325"/>
    </row>
    <row r="890">
      <c r="B890" s="325"/>
      <c r="C890" s="325"/>
    </row>
    <row r="891">
      <c r="B891" s="325"/>
      <c r="C891" s="325"/>
    </row>
    <row r="892">
      <c r="B892" s="325"/>
      <c r="C892" s="325"/>
    </row>
    <row r="893">
      <c r="B893" s="325"/>
      <c r="C893" s="325"/>
    </row>
    <row r="894">
      <c r="B894" s="325"/>
      <c r="C894" s="325"/>
    </row>
    <row r="895">
      <c r="B895" s="325"/>
      <c r="C895" s="325"/>
    </row>
    <row r="896">
      <c r="B896" s="325"/>
      <c r="C896" s="325"/>
    </row>
    <row r="897">
      <c r="B897" s="325"/>
      <c r="C897" s="325"/>
    </row>
    <row r="898">
      <c r="B898" s="325"/>
      <c r="C898" s="325"/>
    </row>
    <row r="899">
      <c r="B899" s="325"/>
      <c r="C899" s="325"/>
    </row>
    <row r="900">
      <c r="B900" s="325"/>
      <c r="C900" s="325"/>
    </row>
    <row r="901">
      <c r="B901" s="325"/>
      <c r="C901" s="325"/>
    </row>
    <row r="902">
      <c r="B902" s="325"/>
      <c r="C902" s="325"/>
    </row>
    <row r="903">
      <c r="B903" s="325"/>
      <c r="C903" s="325"/>
    </row>
    <row r="904">
      <c r="B904" s="325"/>
      <c r="C904" s="325"/>
    </row>
    <row r="905">
      <c r="B905" s="325"/>
      <c r="C905" s="325"/>
    </row>
    <row r="906">
      <c r="B906" s="325"/>
      <c r="C906" s="325"/>
    </row>
    <row r="907">
      <c r="B907" s="325"/>
      <c r="C907" s="325"/>
    </row>
    <row r="908">
      <c r="B908" s="325"/>
      <c r="C908" s="325"/>
    </row>
    <row r="909">
      <c r="B909" s="325"/>
      <c r="C909" s="325"/>
    </row>
    <row r="910">
      <c r="B910" s="325"/>
      <c r="C910" s="325"/>
    </row>
    <row r="911">
      <c r="B911" s="325"/>
      <c r="C911" s="325"/>
    </row>
    <row r="912">
      <c r="B912" s="325"/>
      <c r="C912" s="325"/>
    </row>
    <row r="913">
      <c r="B913" s="325"/>
      <c r="C913" s="325"/>
    </row>
  </sheetData>
  <mergeCells count="21">
    <mergeCell ref="G6:I6"/>
    <mergeCell ref="A9:Z9"/>
    <mergeCell ref="B3:I3"/>
    <mergeCell ref="B4:I4"/>
    <mergeCell ref="C5:D5"/>
    <mergeCell ref="E5:F5"/>
    <mergeCell ref="G5:I5"/>
    <mergeCell ref="C6:D6"/>
    <mergeCell ref="E6:F6"/>
    <mergeCell ref="B31:B32"/>
    <mergeCell ref="B34:B35"/>
    <mergeCell ref="B37:B38"/>
    <mergeCell ref="B40:B41"/>
    <mergeCell ref="B43:B44"/>
    <mergeCell ref="B10:B11"/>
    <mergeCell ref="B13:B14"/>
    <mergeCell ref="B16:B17"/>
    <mergeCell ref="B19:B20"/>
    <mergeCell ref="B22:B23"/>
    <mergeCell ref="B25:B26"/>
    <mergeCell ref="B28:B29"/>
  </mergeCells>
  <dataValidations>
    <dataValidation type="list" allowBlank="1" showErrorMessage="1" sqref="I8">
      <formula1>$O$2:$O$6</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29.29"/>
    <col customWidth="1" min="8" max="8" width="46.57"/>
    <col customWidth="1" min="9" max="9" width="37.86"/>
    <col customWidth="1" min="10" max="26" width="10.29"/>
  </cols>
  <sheetData>
    <row r="1" ht="12.75" customHeight="1">
      <c r="A1" s="11"/>
      <c r="B1" s="326" t="s">
        <v>1304</v>
      </c>
      <c r="C1" s="274"/>
      <c r="D1" s="274"/>
      <c r="E1" s="274"/>
      <c r="F1" s="274"/>
      <c r="G1" s="274"/>
      <c r="H1" s="275"/>
      <c r="I1" s="11"/>
      <c r="J1" s="11"/>
      <c r="K1" s="11"/>
      <c r="L1" s="11"/>
      <c r="M1" s="11"/>
      <c r="N1" s="11"/>
      <c r="O1" s="11"/>
      <c r="P1" s="11"/>
      <c r="Q1" s="11"/>
      <c r="R1" s="11"/>
      <c r="S1" s="11"/>
      <c r="T1" s="11"/>
      <c r="U1" s="11"/>
      <c r="V1" s="11"/>
      <c r="W1" s="11"/>
      <c r="X1" s="11"/>
      <c r="Y1" s="11"/>
      <c r="Z1" s="11"/>
    </row>
    <row r="2" ht="12.75" customHeight="1">
      <c r="A2" s="327"/>
      <c r="B2" s="327"/>
      <c r="C2" s="11"/>
      <c r="D2" s="11"/>
      <c r="E2" s="11"/>
      <c r="F2" s="11"/>
      <c r="G2" s="11"/>
      <c r="H2" s="328"/>
      <c r="I2" s="11"/>
      <c r="J2" s="11"/>
      <c r="K2" s="11"/>
      <c r="L2" s="11"/>
      <c r="M2" s="11"/>
      <c r="N2" s="11"/>
      <c r="O2" s="11"/>
      <c r="P2" s="11"/>
      <c r="Q2" s="11"/>
      <c r="R2" s="11"/>
      <c r="S2" s="11"/>
      <c r="T2" s="11"/>
      <c r="U2" s="11"/>
      <c r="V2" s="11"/>
      <c r="W2" s="11"/>
      <c r="X2" s="11"/>
      <c r="Y2" s="11"/>
      <c r="Z2" s="11"/>
    </row>
    <row r="3" ht="12.75" customHeight="1">
      <c r="A3" s="11"/>
      <c r="B3" s="329" t="s">
        <v>1</v>
      </c>
      <c r="C3" s="119" t="s">
        <v>2</v>
      </c>
      <c r="D3" s="7"/>
      <c r="E3" s="330" t="s">
        <v>3</v>
      </c>
      <c r="F3" s="7"/>
      <c r="G3" s="331" t="s">
        <v>4</v>
      </c>
      <c r="H3" s="14"/>
      <c r="I3" s="11"/>
      <c r="J3" s="11"/>
      <c r="K3" s="11"/>
      <c r="L3" s="11"/>
      <c r="M3" s="11"/>
      <c r="N3" s="11"/>
      <c r="O3" s="11"/>
      <c r="P3" s="11"/>
      <c r="Q3" s="11"/>
      <c r="R3" s="11"/>
      <c r="S3" s="11"/>
      <c r="T3" s="11"/>
      <c r="U3" s="11"/>
      <c r="V3" s="11"/>
      <c r="W3" s="11"/>
      <c r="X3" s="11"/>
      <c r="Y3" s="11"/>
      <c r="Z3" s="11"/>
    </row>
    <row r="4" ht="21.0" customHeight="1">
      <c r="A4" s="11"/>
      <c r="B4" s="329" t="s">
        <v>5</v>
      </c>
      <c r="C4" s="119" t="s">
        <v>6</v>
      </c>
      <c r="D4" s="7"/>
      <c r="E4" s="330" t="s">
        <v>7</v>
      </c>
      <c r="F4" s="7"/>
      <c r="G4" s="140" t="s">
        <v>8</v>
      </c>
      <c r="H4" s="332"/>
      <c r="I4" s="11"/>
      <c r="J4" s="11"/>
      <c r="K4" s="11"/>
      <c r="L4" s="11"/>
      <c r="M4" s="11"/>
      <c r="N4" s="11"/>
      <c r="O4" s="11"/>
      <c r="P4" s="11"/>
      <c r="Q4" s="11"/>
      <c r="R4" s="11"/>
      <c r="S4" s="11"/>
      <c r="T4" s="11"/>
      <c r="U4" s="11"/>
      <c r="V4" s="11"/>
      <c r="W4" s="11"/>
      <c r="X4" s="11"/>
      <c r="Y4" s="11"/>
      <c r="Z4" s="11"/>
    </row>
    <row r="5" ht="12.75" customHeight="1">
      <c r="A5" s="11"/>
      <c r="B5" s="333" t="s">
        <v>9</v>
      </c>
      <c r="C5" s="119" t="s">
        <v>1305</v>
      </c>
      <c r="D5" s="7"/>
      <c r="E5" s="330" t="s">
        <v>11</v>
      </c>
      <c r="F5" s="7"/>
      <c r="G5" s="331" t="s">
        <v>12</v>
      </c>
      <c r="H5" s="334">
        <v>42666.0</v>
      </c>
      <c r="I5" s="11"/>
      <c r="J5" s="11"/>
      <c r="K5" s="11"/>
      <c r="L5" s="11"/>
      <c r="M5" s="11"/>
      <c r="N5" s="11"/>
      <c r="O5" s="11"/>
      <c r="P5" s="11"/>
      <c r="Q5" s="11"/>
      <c r="R5" s="11"/>
      <c r="S5" s="11"/>
      <c r="T5" s="11"/>
      <c r="U5" s="11"/>
      <c r="V5" s="11"/>
      <c r="W5" s="11"/>
      <c r="X5" s="11"/>
      <c r="Y5" s="11"/>
      <c r="Z5" s="11"/>
    </row>
    <row r="6" ht="12.75" customHeight="1">
      <c r="A6" s="327"/>
      <c r="B6" s="333" t="s">
        <v>1306</v>
      </c>
      <c r="C6" s="122" t="s">
        <v>1307</v>
      </c>
      <c r="D6" s="6"/>
      <c r="E6" s="6"/>
      <c r="F6" s="6"/>
      <c r="G6" s="6"/>
      <c r="H6" s="7"/>
      <c r="I6" s="11"/>
      <c r="J6" s="11"/>
      <c r="K6" s="11"/>
      <c r="L6" s="11"/>
      <c r="M6" s="11"/>
      <c r="N6" s="11"/>
      <c r="O6" s="11"/>
      <c r="P6" s="11"/>
      <c r="Q6" s="11"/>
      <c r="R6" s="11"/>
      <c r="S6" s="11"/>
      <c r="T6" s="11"/>
      <c r="U6" s="11"/>
      <c r="V6" s="11"/>
      <c r="W6" s="11"/>
      <c r="X6" s="11"/>
      <c r="Y6" s="11"/>
      <c r="Z6" s="11"/>
    </row>
    <row r="7" ht="12.75" customHeight="1">
      <c r="A7" s="327"/>
      <c r="B7" s="26"/>
      <c r="C7" s="335"/>
      <c r="D7" s="11"/>
      <c r="E7" s="11"/>
      <c r="F7" s="11"/>
      <c r="G7" s="11"/>
      <c r="H7" s="328"/>
      <c r="I7" s="11"/>
      <c r="J7" s="11"/>
      <c r="K7" s="11"/>
      <c r="L7" s="11"/>
      <c r="M7" s="11"/>
      <c r="N7" s="11"/>
      <c r="O7" s="11"/>
      <c r="P7" s="11"/>
      <c r="Q7" s="11"/>
      <c r="R7" s="11"/>
      <c r="S7" s="11"/>
      <c r="T7" s="11"/>
      <c r="U7" s="11"/>
      <c r="V7" s="11"/>
      <c r="W7" s="11"/>
      <c r="X7" s="11"/>
      <c r="Y7" s="11"/>
      <c r="Z7" s="11"/>
    </row>
    <row r="8" ht="12.75" customHeight="1">
      <c r="A8" s="11"/>
      <c r="B8" s="26"/>
      <c r="C8" s="335"/>
      <c r="D8" s="11"/>
      <c r="E8" s="11"/>
      <c r="F8" s="11"/>
      <c r="G8" s="11"/>
      <c r="H8" s="328"/>
      <c r="I8" s="11"/>
      <c r="J8" s="11"/>
      <c r="K8" s="11"/>
      <c r="L8" s="11"/>
      <c r="M8" s="11"/>
      <c r="N8" s="11"/>
      <c r="O8" s="11"/>
      <c r="P8" s="11"/>
      <c r="Q8" s="11"/>
      <c r="R8" s="11"/>
      <c r="S8" s="11"/>
      <c r="T8" s="11"/>
      <c r="U8" s="11"/>
      <c r="V8" s="11"/>
      <c r="W8" s="11"/>
      <c r="X8" s="11"/>
      <c r="Y8" s="11"/>
      <c r="Z8" s="11"/>
    </row>
    <row r="9" ht="12.75" customHeight="1">
      <c r="A9" s="11"/>
      <c r="B9" s="11"/>
      <c r="C9" s="336" t="s">
        <v>1308</v>
      </c>
      <c r="D9" s="11"/>
      <c r="E9" s="11"/>
      <c r="F9" s="11"/>
      <c r="G9" s="11"/>
      <c r="H9" s="11"/>
      <c r="I9" s="11"/>
      <c r="J9" s="11"/>
      <c r="K9" s="11"/>
      <c r="L9" s="11"/>
      <c r="M9" s="11"/>
      <c r="N9" s="11"/>
      <c r="O9" s="11"/>
      <c r="P9" s="11"/>
      <c r="Q9" s="11"/>
      <c r="R9" s="11"/>
      <c r="S9" s="11"/>
      <c r="T9" s="11"/>
      <c r="U9" s="11"/>
      <c r="V9" s="11"/>
      <c r="W9" s="11"/>
      <c r="X9" s="11"/>
      <c r="Y9" s="11"/>
      <c r="Z9" s="11"/>
    </row>
    <row r="10" ht="12.75" customHeight="1">
      <c r="A10" s="337"/>
      <c r="B10" s="338" t="s">
        <v>1309</v>
      </c>
      <c r="C10" s="339" t="s">
        <v>1310</v>
      </c>
      <c r="D10" s="340" t="s">
        <v>168</v>
      </c>
      <c r="E10" s="339" t="s">
        <v>170</v>
      </c>
      <c r="F10" s="339" t="s">
        <v>173</v>
      </c>
      <c r="G10" s="341" t="s">
        <v>177</v>
      </c>
      <c r="H10" s="342" t="s">
        <v>1311</v>
      </c>
      <c r="I10" s="11"/>
      <c r="J10" s="11"/>
      <c r="K10" s="11"/>
      <c r="L10" s="11"/>
      <c r="M10" s="11"/>
      <c r="N10" s="11"/>
      <c r="O10" s="11"/>
      <c r="P10" s="11"/>
      <c r="Q10" s="11"/>
      <c r="R10" s="11"/>
      <c r="S10" s="11"/>
      <c r="T10" s="11"/>
      <c r="U10" s="11"/>
      <c r="V10" s="11"/>
      <c r="W10" s="11"/>
      <c r="X10" s="11"/>
      <c r="Y10" s="11"/>
      <c r="Z10" s="11"/>
    </row>
    <row r="11" ht="12.75" customHeight="1">
      <c r="A11" s="337"/>
      <c r="B11" s="343">
        <v>1.0</v>
      </c>
      <c r="C11" s="344" t="s">
        <v>124</v>
      </c>
      <c r="D11" s="345">
        <v>2.0</v>
      </c>
      <c r="E11" s="345">
        <v>0.0</v>
      </c>
      <c r="F11" s="345">
        <v>0.0</v>
      </c>
      <c r="G11" s="345">
        <v>0.0</v>
      </c>
      <c r="H11" s="345">
        <v>2.0</v>
      </c>
      <c r="I11" s="11"/>
      <c r="J11" s="11"/>
      <c r="K11" s="11"/>
      <c r="L11" s="11"/>
      <c r="M11" s="11"/>
      <c r="N11" s="11"/>
      <c r="O11" s="11"/>
      <c r="P11" s="11"/>
      <c r="Q11" s="11"/>
      <c r="R11" s="11"/>
      <c r="S11" s="11"/>
      <c r="T11" s="11"/>
      <c r="U11" s="11"/>
      <c r="V11" s="11"/>
      <c r="W11" s="11"/>
      <c r="X11" s="11"/>
      <c r="Y11" s="11"/>
      <c r="Z11" s="11"/>
    </row>
    <row r="12" ht="12.75" customHeight="1">
      <c r="A12" s="337"/>
      <c r="B12" s="343">
        <v>2.0</v>
      </c>
      <c r="C12" s="344" t="s">
        <v>128</v>
      </c>
      <c r="D12" s="345">
        <v>1.0</v>
      </c>
      <c r="E12" s="345">
        <v>1.0</v>
      </c>
      <c r="F12" s="345">
        <v>0.0</v>
      </c>
      <c r="G12" s="346">
        <v>0.0</v>
      </c>
      <c r="H12" s="345">
        <v>2.0</v>
      </c>
      <c r="I12" s="11"/>
      <c r="J12" s="11"/>
      <c r="K12" s="11"/>
      <c r="L12" s="11"/>
      <c r="M12" s="11"/>
      <c r="N12" s="11"/>
      <c r="O12" s="11"/>
      <c r="P12" s="11"/>
      <c r="Q12" s="11"/>
      <c r="R12" s="11"/>
      <c r="S12" s="11"/>
      <c r="T12" s="11"/>
      <c r="U12" s="11"/>
      <c r="V12" s="11"/>
      <c r="W12" s="11"/>
      <c r="X12" s="11"/>
      <c r="Y12" s="11"/>
      <c r="Z12" s="11"/>
    </row>
    <row r="13" ht="12.75" customHeight="1">
      <c r="A13" s="337"/>
      <c r="B13" s="343">
        <v>3.0</v>
      </c>
      <c r="C13" s="344" t="s">
        <v>63</v>
      </c>
      <c r="D13" s="345">
        <v>1.0</v>
      </c>
      <c r="E13" s="345">
        <v>0.0</v>
      </c>
      <c r="F13" s="345">
        <v>0.0</v>
      </c>
      <c r="G13" s="346">
        <v>0.0</v>
      </c>
      <c r="H13" s="345">
        <v>2.0</v>
      </c>
      <c r="I13" s="11"/>
      <c r="J13" s="11"/>
      <c r="K13" s="11"/>
      <c r="L13" s="11"/>
      <c r="M13" s="11"/>
      <c r="N13" s="11"/>
      <c r="O13" s="11"/>
      <c r="P13" s="11"/>
      <c r="Q13" s="11"/>
      <c r="R13" s="11"/>
      <c r="S13" s="11"/>
      <c r="T13" s="11"/>
      <c r="U13" s="11"/>
      <c r="V13" s="11"/>
      <c r="W13" s="11"/>
      <c r="X13" s="11"/>
      <c r="Y13" s="11"/>
      <c r="Z13" s="11"/>
    </row>
    <row r="14" ht="12.75" customHeight="1">
      <c r="A14" s="337"/>
      <c r="B14" s="343">
        <v>4.0</v>
      </c>
      <c r="C14" s="344" t="s">
        <v>135</v>
      </c>
      <c r="D14" s="345">
        <v>1.0</v>
      </c>
      <c r="E14" s="345">
        <v>0.0</v>
      </c>
      <c r="F14" s="345">
        <v>0.0</v>
      </c>
      <c r="G14" s="346">
        <v>0.0</v>
      </c>
      <c r="H14" s="345">
        <v>2.0</v>
      </c>
      <c r="I14" s="11"/>
      <c r="J14" s="11"/>
      <c r="K14" s="11"/>
      <c r="L14" s="11"/>
      <c r="M14" s="11"/>
      <c r="N14" s="11"/>
      <c r="O14" s="11"/>
      <c r="P14" s="11"/>
      <c r="Q14" s="11"/>
      <c r="R14" s="11"/>
      <c r="S14" s="11"/>
      <c r="T14" s="11"/>
      <c r="U14" s="11"/>
      <c r="V14" s="11"/>
      <c r="W14" s="11"/>
      <c r="X14" s="11"/>
      <c r="Y14" s="11"/>
      <c r="Z14" s="11"/>
    </row>
    <row r="15" ht="12.75" customHeight="1">
      <c r="A15" s="337"/>
      <c r="B15" s="343">
        <v>5.0</v>
      </c>
      <c r="C15" s="344" t="s">
        <v>139</v>
      </c>
      <c r="D15" s="345">
        <v>1.0</v>
      </c>
      <c r="E15" s="345">
        <v>0.0</v>
      </c>
      <c r="F15" s="345">
        <v>0.0</v>
      </c>
      <c r="G15" s="346">
        <v>0.0</v>
      </c>
      <c r="H15" s="345">
        <v>2.0</v>
      </c>
      <c r="I15" s="11"/>
      <c r="J15" s="11"/>
      <c r="K15" s="11"/>
      <c r="L15" s="11"/>
      <c r="M15" s="11"/>
      <c r="N15" s="11"/>
      <c r="O15" s="11"/>
      <c r="P15" s="11"/>
      <c r="Q15" s="11"/>
      <c r="R15" s="11"/>
      <c r="S15" s="11"/>
      <c r="T15" s="11"/>
      <c r="U15" s="11"/>
      <c r="V15" s="11"/>
      <c r="W15" s="11"/>
      <c r="X15" s="11"/>
      <c r="Y15" s="11"/>
      <c r="Z15" s="11"/>
    </row>
    <row r="16" ht="12.75" customHeight="1">
      <c r="A16" s="337"/>
      <c r="B16" s="343">
        <v>6.0</v>
      </c>
      <c r="C16" s="344" t="s">
        <v>79</v>
      </c>
      <c r="D16" s="345">
        <v>2.0</v>
      </c>
      <c r="E16" s="345">
        <v>0.0</v>
      </c>
      <c r="F16" s="345">
        <v>0.0</v>
      </c>
      <c r="G16" s="346">
        <v>0.0</v>
      </c>
      <c r="H16" s="345">
        <v>2.0</v>
      </c>
      <c r="I16" s="11"/>
      <c r="J16" s="11"/>
      <c r="K16" s="11"/>
      <c r="L16" s="11"/>
      <c r="M16" s="11"/>
      <c r="N16" s="11"/>
      <c r="O16" s="11"/>
      <c r="P16" s="11"/>
      <c r="Q16" s="11"/>
      <c r="R16" s="11"/>
      <c r="S16" s="11"/>
      <c r="T16" s="11"/>
      <c r="U16" s="11"/>
      <c r="V16" s="11"/>
      <c r="W16" s="11"/>
      <c r="X16" s="11"/>
      <c r="Y16" s="11"/>
      <c r="Z16" s="11"/>
    </row>
    <row r="17" ht="12.75" customHeight="1">
      <c r="A17" s="337"/>
      <c r="B17" s="343">
        <v>7.0</v>
      </c>
      <c r="C17" s="344" t="s">
        <v>73</v>
      </c>
      <c r="D17" s="345">
        <v>1.0</v>
      </c>
      <c r="E17" s="345">
        <v>0.0</v>
      </c>
      <c r="F17" s="345">
        <v>0.0</v>
      </c>
      <c r="G17" s="346">
        <v>0.0</v>
      </c>
      <c r="H17" s="345">
        <v>2.0</v>
      </c>
      <c r="I17" s="11"/>
      <c r="J17" s="11"/>
      <c r="K17" s="11"/>
      <c r="L17" s="11"/>
      <c r="M17" s="11"/>
      <c r="N17" s="11"/>
      <c r="O17" s="11"/>
      <c r="P17" s="11"/>
      <c r="Q17" s="11"/>
      <c r="R17" s="11"/>
      <c r="S17" s="11"/>
      <c r="T17" s="11"/>
      <c r="U17" s="11"/>
      <c r="V17" s="11"/>
      <c r="W17" s="11"/>
      <c r="X17" s="11"/>
      <c r="Y17" s="11"/>
      <c r="Z17" s="11"/>
    </row>
    <row r="18" ht="12.75" customHeight="1">
      <c r="A18" s="337"/>
      <c r="B18" s="343">
        <v>8.0</v>
      </c>
      <c r="C18" s="344" t="s">
        <v>146</v>
      </c>
      <c r="D18" s="345">
        <v>1.0</v>
      </c>
      <c r="E18" s="345">
        <v>0.0</v>
      </c>
      <c r="F18" s="345">
        <v>0.0</v>
      </c>
      <c r="G18" s="346">
        <v>0.0</v>
      </c>
      <c r="H18" s="345">
        <v>2.0</v>
      </c>
      <c r="I18" s="11"/>
      <c r="J18" s="11"/>
      <c r="K18" s="11"/>
      <c r="L18" s="11"/>
      <c r="M18" s="11"/>
      <c r="N18" s="11"/>
      <c r="O18" s="11"/>
      <c r="P18" s="11"/>
      <c r="Q18" s="11"/>
      <c r="R18" s="11"/>
      <c r="S18" s="11"/>
      <c r="T18" s="11"/>
      <c r="U18" s="11"/>
      <c r="V18" s="11"/>
      <c r="W18" s="11"/>
      <c r="X18" s="11"/>
      <c r="Y18" s="11"/>
      <c r="Z18" s="11"/>
    </row>
    <row r="19" ht="12.75" customHeight="1">
      <c r="A19" s="337"/>
      <c r="B19" s="343">
        <v>9.0</v>
      </c>
      <c r="C19" s="344" t="s">
        <v>150</v>
      </c>
      <c r="D19" s="345">
        <v>1.0</v>
      </c>
      <c r="E19" s="345">
        <v>0.0</v>
      </c>
      <c r="F19" s="345">
        <v>0.0</v>
      </c>
      <c r="G19" s="346">
        <v>0.0</v>
      </c>
      <c r="H19" s="345">
        <v>2.0</v>
      </c>
      <c r="I19" s="11"/>
      <c r="J19" s="11"/>
      <c r="K19" s="11"/>
      <c r="L19" s="11"/>
      <c r="M19" s="11"/>
      <c r="N19" s="11"/>
      <c r="O19" s="11"/>
      <c r="P19" s="11"/>
      <c r="Q19" s="11"/>
      <c r="R19" s="11"/>
      <c r="S19" s="11"/>
      <c r="T19" s="11"/>
      <c r="U19" s="11"/>
      <c r="V19" s="11"/>
      <c r="W19" s="11"/>
      <c r="X19" s="11"/>
      <c r="Y19" s="11"/>
      <c r="Z19" s="11"/>
    </row>
    <row r="20" ht="12.75" customHeight="1">
      <c r="A20" s="337"/>
      <c r="B20" s="347">
        <v>10.0</v>
      </c>
      <c r="C20" s="140" t="s">
        <v>95</v>
      </c>
      <c r="D20" s="348">
        <v>1.0</v>
      </c>
      <c r="E20" s="348">
        <v>0.0</v>
      </c>
      <c r="F20" s="348">
        <v>0.0</v>
      </c>
      <c r="G20" s="349">
        <v>0.0</v>
      </c>
      <c r="H20" s="345">
        <v>2.0</v>
      </c>
      <c r="I20" s="11"/>
      <c r="J20" s="11"/>
      <c r="K20" s="11"/>
      <c r="L20" s="11"/>
      <c r="M20" s="11"/>
      <c r="N20" s="11"/>
      <c r="O20" s="11"/>
      <c r="P20" s="11"/>
      <c r="Q20" s="11"/>
      <c r="R20" s="11"/>
      <c r="S20" s="11"/>
      <c r="T20" s="11"/>
      <c r="U20" s="11"/>
      <c r="V20" s="11"/>
      <c r="W20" s="11"/>
      <c r="X20" s="11"/>
      <c r="Y20" s="11"/>
      <c r="Z20" s="11"/>
    </row>
    <row r="21" ht="12.75" customHeight="1">
      <c r="A21" s="337"/>
      <c r="B21" s="347">
        <v>11.0</v>
      </c>
      <c r="C21" s="350" t="s">
        <v>107</v>
      </c>
      <c r="D21" s="348">
        <v>1.0</v>
      </c>
      <c r="E21" s="348">
        <v>0.0</v>
      </c>
      <c r="F21" s="348">
        <v>0.0</v>
      </c>
      <c r="G21" s="349">
        <v>0.0</v>
      </c>
      <c r="H21" s="345">
        <v>2.0</v>
      </c>
      <c r="I21" s="11"/>
      <c r="J21" s="11"/>
      <c r="K21" s="11"/>
      <c r="L21" s="11"/>
      <c r="M21" s="11"/>
      <c r="N21" s="11"/>
      <c r="O21" s="11"/>
      <c r="P21" s="11"/>
      <c r="Q21" s="11"/>
      <c r="R21" s="11"/>
      <c r="S21" s="11"/>
      <c r="T21" s="11"/>
      <c r="U21" s="11"/>
      <c r="V21" s="11"/>
      <c r="W21" s="11"/>
      <c r="X21" s="11"/>
      <c r="Y21" s="11"/>
      <c r="Z21" s="11"/>
    </row>
    <row r="22" ht="12.75" customHeight="1">
      <c r="A22" s="337"/>
      <c r="B22" s="347">
        <v>12.0</v>
      </c>
      <c r="C22" s="350" t="s">
        <v>104</v>
      </c>
      <c r="D22" s="348">
        <v>1.0</v>
      </c>
      <c r="E22" s="348">
        <v>0.0</v>
      </c>
      <c r="F22" s="348">
        <v>0.0</v>
      </c>
      <c r="G22" s="349">
        <v>0.0</v>
      </c>
      <c r="H22" s="345">
        <v>2.0</v>
      </c>
      <c r="I22" s="11"/>
      <c r="J22" s="11"/>
      <c r="K22" s="11"/>
      <c r="L22" s="11"/>
      <c r="M22" s="11"/>
      <c r="N22" s="11"/>
      <c r="O22" s="11"/>
      <c r="P22" s="11"/>
      <c r="Q22" s="11"/>
      <c r="R22" s="11"/>
      <c r="S22" s="11"/>
      <c r="T22" s="11"/>
      <c r="U22" s="11"/>
      <c r="V22" s="11"/>
      <c r="W22" s="11"/>
      <c r="X22" s="11"/>
      <c r="Y22" s="11"/>
      <c r="Z22" s="11"/>
    </row>
    <row r="23" ht="12.75" customHeight="1">
      <c r="A23" s="337"/>
      <c r="B23" s="351"/>
      <c r="C23" s="352" t="s">
        <v>1312</v>
      </c>
      <c r="D23" s="353">
        <f>SUM(D11:D22)</f>
        <v>14</v>
      </c>
      <c r="E23" s="353">
        <f t="shared" ref="E23:F23" si="1">SUM(E9:E19)</f>
        <v>1</v>
      </c>
      <c r="F23" s="353">
        <f t="shared" si="1"/>
        <v>0</v>
      </c>
      <c r="G23" s="353">
        <f>SUM(G11:G22)</f>
        <v>0</v>
      </c>
      <c r="H23" s="354">
        <f>SUM(H11:H19)</f>
        <v>18</v>
      </c>
      <c r="I23" s="11"/>
      <c r="J23" s="11"/>
      <c r="K23" s="11"/>
      <c r="L23" s="11"/>
      <c r="M23" s="11"/>
      <c r="N23" s="11"/>
      <c r="O23" s="11"/>
      <c r="P23" s="11"/>
      <c r="Q23" s="11"/>
      <c r="R23" s="11"/>
      <c r="S23" s="11"/>
      <c r="T23" s="11"/>
      <c r="U23" s="11"/>
      <c r="V23" s="11"/>
      <c r="W23" s="11"/>
      <c r="X23" s="11"/>
      <c r="Y23" s="11"/>
      <c r="Z23" s="11"/>
    </row>
    <row r="24" ht="12.75" customHeight="1">
      <c r="A24" s="11"/>
      <c r="B24" s="355"/>
      <c r="C24" s="11"/>
      <c r="D24" s="356"/>
      <c r="E24" s="357"/>
      <c r="F24" s="357"/>
      <c r="G24" s="357"/>
      <c r="H24" s="357"/>
      <c r="I24" s="11"/>
      <c r="J24" s="11"/>
      <c r="K24" s="11"/>
      <c r="L24" s="11"/>
      <c r="M24" s="11"/>
      <c r="N24" s="11"/>
      <c r="O24" s="11"/>
      <c r="P24" s="11"/>
      <c r="Q24" s="11"/>
      <c r="R24" s="11"/>
      <c r="S24" s="11"/>
      <c r="T24" s="11"/>
      <c r="U24" s="11"/>
      <c r="V24" s="11"/>
      <c r="W24" s="11"/>
      <c r="X24" s="11"/>
      <c r="Y24" s="11"/>
      <c r="Z24" s="11"/>
    </row>
    <row r="25" ht="12.75" customHeight="1">
      <c r="A25" s="11"/>
      <c r="B25" s="11"/>
      <c r="C25" s="9" t="s">
        <v>1313</v>
      </c>
      <c r="D25" s="11"/>
      <c r="E25" s="358">
        <f>(D23+E23)*100/(H23-G23)</f>
        <v>83.33333333</v>
      </c>
      <c r="F25" s="11" t="s">
        <v>1314</v>
      </c>
      <c r="G25" s="11"/>
      <c r="H25" s="359"/>
      <c r="I25" s="11"/>
      <c r="J25" s="11"/>
      <c r="K25" s="11"/>
      <c r="L25" s="11"/>
      <c r="M25" s="11"/>
      <c r="N25" s="11"/>
      <c r="O25" s="11"/>
      <c r="P25" s="11"/>
      <c r="Q25" s="11"/>
      <c r="R25" s="11"/>
      <c r="S25" s="11"/>
      <c r="T25" s="11"/>
      <c r="U25" s="11"/>
      <c r="V25" s="11"/>
      <c r="W25" s="11"/>
      <c r="X25" s="11"/>
      <c r="Y25" s="11"/>
      <c r="Z25" s="11"/>
    </row>
    <row r="26" ht="12.75" customHeight="1">
      <c r="A26" s="11"/>
      <c r="B26" s="11"/>
      <c r="C26" s="9" t="s">
        <v>1315</v>
      </c>
      <c r="D26" s="11"/>
      <c r="E26" s="358">
        <f>D23*100/(H23-G23)</f>
        <v>77.77777778</v>
      </c>
      <c r="F26" s="11" t="s">
        <v>1314</v>
      </c>
      <c r="G26" s="11"/>
      <c r="H26" s="359"/>
      <c r="I26" s="11"/>
      <c r="J26" s="11"/>
      <c r="K26" s="11"/>
      <c r="L26" s="11"/>
      <c r="M26" s="11"/>
      <c r="N26" s="11"/>
      <c r="O26" s="11"/>
      <c r="P26" s="11"/>
      <c r="Q26" s="11"/>
      <c r="R26" s="11"/>
      <c r="S26" s="11"/>
      <c r="T26" s="11"/>
      <c r="U26" s="11"/>
      <c r="V26" s="11"/>
      <c r="W26" s="11"/>
      <c r="X26" s="11"/>
      <c r="Y26" s="11"/>
      <c r="Z26" s="11"/>
    </row>
    <row r="27" ht="12.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2.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2.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2.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Nguyen Anh Dung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0x0101006F92872E82E1BD40839A40746A3229E7</vt:lpwstr>
  </property>
</Properties>
</file>